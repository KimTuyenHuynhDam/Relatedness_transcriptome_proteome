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a9d5befbb543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NA donors" sheetId="1" r:id="R9ed4d9b065504fb5"/>
    <x:sheet xmlns:r="http://schemas.openxmlformats.org/officeDocument/2006/relationships" name="Plasma donors" sheetId="2" r:id="Ra3fc725e02924f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yyyy-mm-dd"/>
  </x:numFmts>
  <x:fonts count="5">
    <x:font>
      <x:sz val="11"/>
      <x:name val="Carlito"/>
    </x:font>
    <x:font>
      <x:sz val="10"/>
      <x:color rgb="FF202124"/>
      <x:name val="Arial"/>
    </x:font>
    <x:font>
      <x:b/>
      <x:sz val="14"/>
      <x:color rgb="FF25364A"/>
      <x:name val="Arial"/>
    </x:font>
    <x:font>
      <x:sz val="10"/>
      <x:color rgb="FF4B556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04C68"/>
      </x:patternFill>
    </x:fill>
    <x:fill>
      <x:patternFill patternType="solid">
        <x:fgColor rgb="FF304C68"/>
      </x:patternFill>
    </x:fill>
  </x:fills>
  <x:borders count="2">
    <x:border/>
    <x:border>
      <x:bottom style="thin">
        <x:color rgb="FFAAB7C4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8dfdd1626b4544" /><Relationship Type="http://schemas.openxmlformats.org/officeDocument/2006/relationships/theme" Target="/xl/theme/theme1.xml" Id="Re9f49d3a82344769" /><Relationship Type="http://schemas.openxmlformats.org/officeDocument/2006/relationships/sharedStrings" Target="/xl/sharedStrings.xml" Id="Rf953790f87974559" /><Relationship Type="http://schemas.openxmlformats.org/officeDocument/2006/relationships/worksheet" Target="/xl/worksheets/sheet1.xml" Id="R9ed4d9b065504fb5" /><Relationship Type="http://schemas.openxmlformats.org/officeDocument/2006/relationships/worksheet" Target="/xl/worksheets/sheet2.xml" Id="Ra3fc725e02924fdb" /></Relationships>
</file>

<file path=xl/tables/table1.xml><?xml version="1.0" encoding="utf-8"?>
<x:table xmlns:x="http://schemas.openxmlformats.org/spreadsheetml/2006/main" id="1" name="RNADonors" displayName="RNADonors" ref="A6:J38" headerRowCount="1" totalsRowCount="0" totalsRowShown="0">
  <x:autoFilter ref="A6:J38"/>
  <x:tableColumns count="10">
    <x:tableColumn id="1" name="Donor ID"/>
    <x:tableColumn id="2" name="Sex"/>
    <x:tableColumn id="3" name="Age (months)"/>
    <x:tableColumn id="4" name="Age (days)"/>
    <x:tableColumn id="5" name="Birth date"/>
    <x:tableColumn id="6" name="Parental cage"/>
    <x:tableColumn id="7" name="Dam ID"/>
    <x:tableColumn id="8" name="Sire ID"/>
    <x:tableColumn id="9" name="P0 lineage"/>
    <x:tableColumn id="10" name="Retained tissu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asmaDonors" displayName="PlasmaDonors" ref="A6:I18" headerRowCount="1" totalsRowCount="0" totalsRowShown="0">
  <x:autoFilter ref="A6:I18"/>
  <x:tableColumns count="9">
    <x:tableColumn id="1" name="Donor ID"/>
    <x:tableColumn id="2" name="Matrix sample ID"/>
    <x:tableColumn id="3" name="Age (years)"/>
    <x:tableColumn id="4" name="Age (days)"/>
    <x:tableColumn id="5" name="Birth date"/>
    <x:tableColumn id="6" name="Parental cage"/>
    <x:tableColumn id="7" name="Parent IDs"/>
    <x:tableColumn id="8" name="Parental origin"/>
    <x:tableColumn id="9" name="Retain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120694467354a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1de777d7363468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12" hidden="0" customWidth="1"/>
    <x:col min="4" max="4" width="10" hidden="0" customWidth="1"/>
    <x:col min="5" max="5" width="13" hidden="0" customWidth="1"/>
    <x:col min="6" max="6" width="14" hidden="0" customWidth="1"/>
    <x:col min="7" max="7" width="13" hidden="0" customWidth="1"/>
    <x:col min="8" max="8" width="13" hidden="0" customWidth="1"/>
    <x:col min="9" max="9" width="12" hidden="0" customWidth="1"/>
    <x:col min="10" max="10" width="24" hidden="0" customWidth="1"/>
  </x:cols>
  <x:sheetData>
    <x:row r="1" ht="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7" customHeight="1">
      <x:c r="A2" s="4" t="str">
        <x:v>Supplementary Table S2. RNA donors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0" customHeight="1">
      <x:c r="A3" s="6" t="str">
        <x:v>32 animals (8 per generation × sex group), all virgin. Cortex and midbrain: 64 collected specimens, 62 retained.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 ht="20" customHeight="1">
      <x:c r="A4" s="6" t="str">
        <x:v>Sources: hybrid SM2 x BW mice.xlsx; mice information for RNAseq.xlsx.</x:v>
      </x:c>
      <x:c r="B4" s="6"/>
      <x:c r="C4" s="6"/>
      <x:c r="D4" s="6"/>
      <x:c r="E4" s="6"/>
      <x:c r="F4" s="6"/>
      <x:c r="G4" s="6"/>
      <x:c r="H4" s="6"/>
      <x:c r="I4" s="6"/>
      <x:c r="J4" s="6"/>
    </x:row>
    <x:row r="5" ht="8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35" customHeight="1">
      <x:c r="A6" s="10" t="str">
        <x:v>Donor ID</x:v>
      </x:c>
      <x:c r="B6" s="10" t="str">
        <x:v>Sex</x:v>
      </x:c>
      <x:c r="C6" s="10" t="str">
        <x:v>Age (months)</x:v>
      </x:c>
      <x:c r="D6" s="10" t="str">
        <x:v>Age (days)</x:v>
      </x:c>
      <x:c r="E6" s="10" t="str">
        <x:v>Birth date</x:v>
      </x:c>
      <x:c r="F6" s="10" t="str">
        <x:v>Parental cage</x:v>
      </x:c>
      <x:c r="G6" s="10" t="str">
        <x:v>Dam ID</x:v>
      </x:c>
      <x:c r="H6" s="10" t="str">
        <x:v>Sire ID</x:v>
      </x:c>
      <x:c r="I6" s="10" t="str">
        <x:v>P0 lineage</x:v>
      </x:c>
      <x:c r="J6" s="10" t="str">
        <x:v>Retained tissues</x:v>
      </x:c>
    </x:row>
    <x:row r="7" ht="21" customHeight="1">
      <x:c r="A7" s="2" t="str">
        <x:v>F1-4</x:v>
      </x:c>
      <x:c r="B7" s="2" t="str">
        <x:v>Female</x:v>
      </x:c>
      <x:c r="C7" s="14" t="n">
        <x:f>IF(D7="","",D7/(365/12))</x:f>
        <x:v>1.4465753424657535</x:v>
      </x:c>
      <x:c r="D7" s="15" t="n">
        <x:v>44</x:v>
      </x:c>
      <x:c r="E7" s="17" t="n">
        <x:v>45277</x:v>
      </x:c>
      <x:c r="F7" s="2" t="str">
        <x:v>P0-5</x:v>
      </x:c>
      <x:c r="G7" s="2" t="str">
        <x:v>P0:39995</x:v>
      </x:c>
      <x:c r="H7" s="2" t="str">
        <x:v>P0:12409</x:v>
      </x:c>
      <x:c r="I7" s="2" t="str">
        <x:v>P0-5</x:v>
      </x:c>
      <x:c r="J7" s="2" t="str">
        <x:v>Cortex + midbrain</x:v>
      </x:c>
    </x:row>
    <x:row r="8" ht="21" customHeight="1">
      <x:c r="A8" s="2" t="str">
        <x:v>F1-28</x:v>
      </x:c>
      <x:c r="B8" s="2" t="str">
        <x:v>Female</x:v>
      </x:c>
      <x:c r="C8" s="14" t="n">
        <x:f>IF(D8="","",D8/(365/12))</x:f>
        <x:v>1.4136986301369863</x:v>
      </x:c>
      <x:c r="D8" s="15" t="n">
        <x:v>43</x:v>
      </x:c>
      <x:c r="E8" s="17" t="n">
        <x:v>45344</x:v>
      </x:c>
      <x:c r="F8" s="2" t="str">
        <x:v>P0-6</x:v>
      </x:c>
      <x:c r="G8" s="2" t="str">
        <x:v>P0:40021</x:v>
      </x:c>
      <x:c r="H8" s="2" t="str">
        <x:v>P0:12381</x:v>
      </x:c>
      <x:c r="I8" s="2" t="str">
        <x:v>P0-6</x:v>
      </x:c>
      <x:c r="J8" s="2" t="str">
        <x:v>Cortex + midbrain</x:v>
      </x:c>
    </x:row>
    <x:row r="9" ht="21" customHeight="1">
      <x:c r="A9" s="2" t="str">
        <x:v>F1-32</x:v>
      </x:c>
      <x:c r="B9" s="2" t="str">
        <x:v>Female</x:v>
      </x:c>
      <x:c r="C9" s="14" t="n">
        <x:f>IF(D9="","",D9/(365/12))</x:f>
        <x:v>1.2821917808219176</x:v>
      </x:c>
      <x:c r="D9" s="15" t="n">
        <x:v>39</x:v>
      </x:c>
      <x:c r="E9" s="17" t="n">
        <x:v>45355</x:v>
      </x:c>
      <x:c r="F9" s="2" t="str">
        <x:v>P0-5</x:v>
      </x:c>
      <x:c r="G9" s="2" t="str">
        <x:v>P0:39995</x:v>
      </x:c>
      <x:c r="H9" s="2" t="str">
        <x:v>P0:12409</x:v>
      </x:c>
      <x:c r="I9" s="2" t="str">
        <x:v>P0-5</x:v>
      </x:c>
      <x:c r="J9" s="2" t="str">
        <x:v>Cortex + midbrain</x:v>
      </x:c>
    </x:row>
    <x:row r="10" ht="21" customHeight="1">
      <x:c r="A10" s="2" t="str">
        <x:v>F1-150</x:v>
      </x:c>
      <x:c r="B10" s="2" t="str">
        <x:v>Female</x:v>
      </x:c>
      <x:c r="C10" s="14" t="n">
        <x:f>IF(D10="","",D10/(365/12))</x:f>
        <x:v>1.380821917808219</x:v>
      </x:c>
      <x:c r="D10" s="15" t="n">
        <x:v>42</x:v>
      </x:c>
      <x:c r="E10" s="17" t="n">
        <x:v>45533</x:v>
      </x:c>
      <x:c r="F10" s="2" t="str">
        <x:v>P0-4</x:v>
      </x:c>
      <x:c r="G10" s="2" t="str">
        <x:v>P0:40006</x:v>
      </x:c>
      <x:c r="H10" s="2" t="str">
        <x:v>P0:12422</x:v>
      </x:c>
      <x:c r="I10" s="2" t="str">
        <x:v>P0-4</x:v>
      </x:c>
      <x:c r="J10" s="2" t="str">
        <x:v>Cortex + midbrain</x:v>
      </x:c>
    </x:row>
    <x:row r="11" ht="21" customHeight="1">
      <x:c r="A11" s="2" t="str">
        <x:v>F1-153</x:v>
      </x:c>
      <x:c r="B11" s="2" t="str">
        <x:v>Female</x:v>
      </x:c>
      <x:c r="C11" s="14" t="n">
        <x:f>IF(D11="","",D11/(365/12))</x:f>
        <x:v>1.380821917808219</x:v>
      </x:c>
      <x:c r="D11" s="15" t="n">
        <x:v>42</x:v>
      </x:c>
      <x:c r="E11" s="17" t="n">
        <x:v>45533</x:v>
      </x:c>
      <x:c r="F11" s="2" t="str">
        <x:v>P0-4</x:v>
      </x:c>
      <x:c r="G11" s="2" t="str">
        <x:v>P0:40006</x:v>
      </x:c>
      <x:c r="H11" s="2" t="str">
        <x:v>P0:12422</x:v>
      </x:c>
      <x:c r="I11" s="2" t="str">
        <x:v>P0-4</x:v>
      </x:c>
      <x:c r="J11" s="2" t="str">
        <x:v>Cortex + midbrain</x:v>
      </x:c>
    </x:row>
    <x:row r="12" ht="21" customHeight="1">
      <x:c r="A12" s="2" t="str">
        <x:v>F1-154</x:v>
      </x:c>
      <x:c r="B12" s="2" t="str">
        <x:v>Female</x:v>
      </x:c>
      <x:c r="C12" s="14" t="n">
        <x:f>IF(D12="","",D12/(365/12))</x:f>
        <x:v>1.4136986301369863</x:v>
      </x:c>
      <x:c r="D12" s="15" t="n">
        <x:v>43</x:v>
      </x:c>
      <x:c r="E12" s="17" t="n">
        <x:v>45537</x:v>
      </x:c>
      <x:c r="F12" s="2" t="str">
        <x:v>P0-2</x:v>
      </x:c>
      <x:c r="G12" s="2" t="str">
        <x:v>P0:12434</x:v>
      </x:c>
      <x:c r="H12" s="2" t="str">
        <x:v>P0:39957</x:v>
      </x:c>
      <x:c r="I12" s="2" t="str">
        <x:v>P0-2</x:v>
      </x:c>
      <x:c r="J12" s="2" t="str">
        <x:v>Cortex + midbrain</x:v>
      </x:c>
    </x:row>
    <x:row r="13" ht="21" customHeight="1">
      <x:c r="A13" s="2" t="str">
        <x:v>F1-156</x:v>
      </x:c>
      <x:c r="B13" s="2" t="str">
        <x:v>Female</x:v>
      </x:c>
      <x:c r="C13" s="14" t="n">
        <x:f>IF(D13="","",D13/(365/12))</x:f>
        <x:v>1.4136986301369863</x:v>
      </x:c>
      <x:c r="D13" s="15" t="n">
        <x:v>43</x:v>
      </x:c>
      <x:c r="E13" s="17" t="n">
        <x:v>45537</x:v>
      </x:c>
      <x:c r="F13" s="2" t="str">
        <x:v>P0-2</x:v>
      </x:c>
      <x:c r="G13" s="2" t="str">
        <x:v>P0:12434</x:v>
      </x:c>
      <x:c r="H13" s="2" t="str">
        <x:v>P0:39957</x:v>
      </x:c>
      <x:c r="I13" s="2" t="str">
        <x:v>P0-2</x:v>
      </x:c>
      <x:c r="J13" s="2" t="str">
        <x:v>Cortex + midbrain</x:v>
      </x:c>
    </x:row>
    <x:row r="14" ht="21" customHeight="1">
      <x:c r="A14" s="2" t="str">
        <x:v>F1-158</x:v>
      </x:c>
      <x:c r="B14" s="2" t="str">
        <x:v>Female</x:v>
      </x:c>
      <x:c r="C14" s="14" t="n">
        <x:f>IF(D14="","",D14/(365/12))</x:f>
        <x:v>1.4136986301369863</x:v>
      </x:c>
      <x:c r="D14" s="15" t="n">
        <x:v>43</x:v>
      </x:c>
      <x:c r="E14" s="17" t="n">
        <x:v>45537</x:v>
      </x:c>
      <x:c r="F14" s="2" t="str">
        <x:v>P0-2</x:v>
      </x:c>
      <x:c r="G14" s="2" t="str">
        <x:v>P0:12434</x:v>
      </x:c>
      <x:c r="H14" s="2" t="str">
        <x:v>P0:39957</x:v>
      </x:c>
      <x:c r="I14" s="2" t="str">
        <x:v>P0-2</x:v>
      </x:c>
      <x:c r="J14" s="2" t="str">
        <x:v>Cortex + midbrain</x:v>
      </x:c>
    </x:row>
    <x:row r="15" ht="21" customHeight="1">
      <x:c r="A15" s="2" t="str">
        <x:v>F1-29</x:v>
      </x:c>
      <x:c r="B15" s="2" t="str">
        <x:v>Male</x:v>
      </x:c>
      <x:c r="C15" s="14" t="n">
        <x:f>IF(D15="","",D15/(365/12))</x:f>
        <x:v>1.4136986301369863</x:v>
      </x:c>
      <x:c r="D15" s="15" t="n">
        <x:v>43</x:v>
      </x:c>
      <x:c r="E15" s="17" t="n">
        <x:v>45344</x:v>
      </x:c>
      <x:c r="F15" s="2" t="str">
        <x:v>P0-6</x:v>
      </x:c>
      <x:c r="G15" s="2" t="str">
        <x:v>P0:40021</x:v>
      </x:c>
      <x:c r="H15" s="2" t="str">
        <x:v>P0:12381</x:v>
      </x:c>
      <x:c r="I15" s="2" t="str">
        <x:v>P0-6</x:v>
      </x:c>
      <x:c r="J15" s="2" t="str">
        <x:v>Cortex + midbrain</x:v>
      </x:c>
    </x:row>
    <x:row r="16" ht="21" customHeight="1">
      <x:c r="A16" s="2" t="str">
        <x:v>F1-30</x:v>
      </x:c>
      <x:c r="B16" s="2" t="str">
        <x:v>Male</x:v>
      </x:c>
      <x:c r="C16" s="14" t="n">
        <x:f>IF(D16="","",D16/(365/12))</x:f>
        <x:v>1.4136986301369863</x:v>
      </x:c>
      <x:c r="D16" s="15" t="n">
        <x:v>43</x:v>
      </x:c>
      <x:c r="E16" s="17" t="n">
        <x:v>45344</x:v>
      </x:c>
      <x:c r="F16" s="2" t="str">
        <x:v>P0-6</x:v>
      </x:c>
      <x:c r="G16" s="2" t="str">
        <x:v>P0:40021</x:v>
      </x:c>
      <x:c r="H16" s="2" t="str">
        <x:v>P0:12381</x:v>
      </x:c>
      <x:c r="I16" s="2" t="str">
        <x:v>P0-6</x:v>
      </x:c>
      <x:c r="J16" s="2" t="str">
        <x:v>Cortex + midbrain</x:v>
      </x:c>
    </x:row>
    <x:row r="17" ht="21" customHeight="1">
      <x:c r="A17" s="2" t="str">
        <x:v>F1-35</x:v>
      </x:c>
      <x:c r="B17" s="2" t="str">
        <x:v>Male</x:v>
      </x:c>
      <x:c r="C17" s="14" t="n">
        <x:f>IF(D17="","",D17/(365/12))</x:f>
        <x:v>1.2821917808219176</x:v>
      </x:c>
      <x:c r="D17" s="15" t="n">
        <x:v>39</x:v>
      </x:c>
      <x:c r="E17" s="17" t="n">
        <x:v>45355</x:v>
      </x:c>
      <x:c r="F17" s="2" t="str">
        <x:v>P0-5</x:v>
      </x:c>
      <x:c r="G17" s="2" t="str">
        <x:v>P0:39995</x:v>
      </x:c>
      <x:c r="H17" s="2" t="str">
        <x:v>P0:12409</x:v>
      </x:c>
      <x:c r="I17" s="2" t="str">
        <x:v>P0-5</x:v>
      </x:c>
      <x:c r="J17" s="2" t="str">
        <x:v>Cortex + midbrain</x:v>
      </x:c>
    </x:row>
    <x:row r="18" ht="21" customHeight="1">
      <x:c r="A18" s="2" t="str">
        <x:v>F1-36</x:v>
      </x:c>
      <x:c r="B18" s="2" t="str">
        <x:v>Male</x:v>
      </x:c>
      <x:c r="C18" s="14" t="n">
        <x:f>IF(D18="","",D18/(365/12))</x:f>
        <x:v>1.2821917808219176</x:v>
      </x:c>
      <x:c r="D18" s="15" t="n">
        <x:v>39</x:v>
      </x:c>
      <x:c r="E18" s="17" t="n">
        <x:v>45355</x:v>
      </x:c>
      <x:c r="F18" s="2" t="str">
        <x:v>P0-5</x:v>
      </x:c>
      <x:c r="G18" s="2" t="str">
        <x:v>P0:39995</x:v>
      </x:c>
      <x:c r="H18" s="2" t="str">
        <x:v>P0:12409</x:v>
      </x:c>
      <x:c r="I18" s="2" t="str">
        <x:v>P0-5</x:v>
      </x:c>
      <x:c r="J18" s="2" t="str">
        <x:v>Cortex + midbrain</x:v>
      </x:c>
    </x:row>
    <x:row r="19" ht="21" customHeight="1">
      <x:c r="A19" s="2" t="str">
        <x:v>F1-151</x:v>
      </x:c>
      <x:c r="B19" s="2" t="str">
        <x:v>Male</x:v>
      </x:c>
      <x:c r="C19" s="14" t="n">
        <x:f>IF(D19="","",D19/(365/12))</x:f>
        <x:v>1.380821917808219</x:v>
      </x:c>
      <x:c r="D19" s="15" t="n">
        <x:v>42</x:v>
      </x:c>
      <x:c r="E19" s="17" t="n">
        <x:v>45533</x:v>
      </x:c>
      <x:c r="F19" s="2" t="str">
        <x:v>P0-4</x:v>
      </x:c>
      <x:c r="G19" s="2" t="str">
        <x:v>P0:40006</x:v>
      </x:c>
      <x:c r="H19" s="2" t="str">
        <x:v>P0:12422</x:v>
      </x:c>
      <x:c r="I19" s="2" t="str">
        <x:v>P0-4</x:v>
      </x:c>
      <x:c r="J19" s="2" t="str">
        <x:v>Cortex + midbrain</x:v>
      </x:c>
    </x:row>
    <x:row r="20" ht="21" customHeight="1">
      <x:c r="A20" s="2" t="str">
        <x:v>F1-152</x:v>
      </x:c>
      <x:c r="B20" s="2" t="str">
        <x:v>Male</x:v>
      </x:c>
      <x:c r="C20" s="14" t="n">
        <x:f>IF(D20="","",D20/(365/12))</x:f>
        <x:v>1.380821917808219</x:v>
      </x:c>
      <x:c r="D20" s="15" t="n">
        <x:v>42</x:v>
      </x:c>
      <x:c r="E20" s="17" t="n">
        <x:v>45533</x:v>
      </x:c>
      <x:c r="F20" s="2" t="str">
        <x:v>P0-4</x:v>
      </x:c>
      <x:c r="G20" s="2" t="str">
        <x:v>P0:40006</x:v>
      </x:c>
      <x:c r="H20" s="2" t="str">
        <x:v>P0:12422</x:v>
      </x:c>
      <x:c r="I20" s="2" t="str">
        <x:v>P0-4</x:v>
      </x:c>
      <x:c r="J20" s="2" t="str">
        <x:v>Cortex + midbrain</x:v>
      </x:c>
    </x:row>
    <x:row r="21" ht="21" customHeight="1">
      <x:c r="A21" s="2" t="str">
        <x:v>F1-155</x:v>
      </x:c>
      <x:c r="B21" s="2" t="str">
        <x:v>Male</x:v>
      </x:c>
      <x:c r="C21" s="14" t="n">
        <x:f>IF(D21="","",D21/(365/12))</x:f>
        <x:v>1.4136986301369863</x:v>
      </x:c>
      <x:c r="D21" s="15" t="n">
        <x:v>43</x:v>
      </x:c>
      <x:c r="E21" s="17" t="n">
        <x:v>45537</x:v>
      </x:c>
      <x:c r="F21" s="2" t="str">
        <x:v>P0-2</x:v>
      </x:c>
      <x:c r="G21" s="2" t="str">
        <x:v>P0:12434</x:v>
      </x:c>
      <x:c r="H21" s="2" t="str">
        <x:v>P0:39957</x:v>
      </x:c>
      <x:c r="I21" s="2" t="str">
        <x:v>P0-2</x:v>
      </x:c>
      <x:c r="J21" s="2" t="str">
        <x:v>Cortex + midbrain</x:v>
      </x:c>
    </x:row>
    <x:row r="22" ht="21" customHeight="1">
      <x:c r="A22" s="2" t="str">
        <x:v>F1-159</x:v>
      </x:c>
      <x:c r="B22" s="2" t="str">
        <x:v>Male</x:v>
      </x:c>
      <x:c r="C22" s="14" t="n">
        <x:f>IF(D22="","",D22/(365/12))</x:f>
        <x:v>1.4136986301369863</x:v>
      </x:c>
      <x:c r="D22" s="15" t="n">
        <x:v>43</x:v>
      </x:c>
      <x:c r="E22" s="17" t="n">
        <x:v>45537</x:v>
      </x:c>
      <x:c r="F22" s="2" t="str">
        <x:v>P0-2</x:v>
      </x:c>
      <x:c r="G22" s="2" t="str">
        <x:v>P0:12434</x:v>
      </x:c>
      <x:c r="H22" s="2" t="str">
        <x:v>P0:39957</x:v>
      </x:c>
      <x:c r="I22" s="2" t="str">
        <x:v>P0-2</x:v>
      </x:c>
      <x:c r="J22" s="2" t="str">
        <x:v>Cortex + midbrain</x:v>
      </x:c>
    </x:row>
    <x:row r="23" ht="21" customHeight="1">
      <x:c r="A23" s="2" t="str">
        <x:v>F2-1</x:v>
      </x:c>
      <x:c r="B23" s="2" t="str">
        <x:v>Female</x:v>
      </x:c>
      <x:c r="C23" s="14" t="n">
        <x:f>IF(D23="","",D23/(365/12))</x:f>
        <x:v>1.347945205479452</x:v>
      </x:c>
      <x:c r="D23" s="15" t="n">
        <x:v>41</x:v>
      </x:c>
      <x:c r="E23" s="17" t="n">
        <x:v>45332</x:v>
      </x:c>
      <x:c r="F23" s="2" t="str">
        <x:v>F1-1</x:v>
      </x:c>
      <x:c r="G23" s="2" t="str">
        <x:v>F1:2</x:v>
      </x:c>
      <x:c r="H23" s="2" t="str">
        <x:v>F1:3</x:v>
      </x:c>
      <x:c r="I23" s="2" t="str">
        <x:v>P0-6</x:v>
      </x:c>
      <x:c r="J23" s="2" t="str">
        <x:v>Cortex + midbrain</x:v>
      </x:c>
    </x:row>
    <x:row r="24" ht="21" customHeight="1">
      <x:c r="A24" s="2" t="str">
        <x:v>F2-2</x:v>
      </x:c>
      <x:c r="B24" s="2" t="str">
        <x:v>Female</x:v>
      </x:c>
      <x:c r="C24" s="14" t="n">
        <x:f>IF(D24="","",D24/(365/12))</x:f>
        <x:v>1.347945205479452</x:v>
      </x:c>
      <x:c r="D24" s="15" t="n">
        <x:v>41</x:v>
      </x:c>
      <x:c r="E24" s="17" t="n">
        <x:v>45332</x:v>
      </x:c>
      <x:c r="F24" s="2" t="str">
        <x:v>F1-1</x:v>
      </x:c>
      <x:c r="G24" s="2" t="str">
        <x:v>F1:2</x:v>
      </x:c>
      <x:c r="H24" s="2" t="str">
        <x:v>F1:3</x:v>
      </x:c>
      <x:c r="I24" s="2" t="str">
        <x:v>P0-6</x:v>
      </x:c>
      <x:c r="J24" s="2" t="str">
        <x:v>Cortex + midbrain</x:v>
      </x:c>
    </x:row>
    <x:row r="25" ht="21" customHeight="1">
      <x:c r="A25" s="2" t="str">
        <x:v>F2-11</x:v>
      </x:c>
      <x:c r="B25" s="2" t="str">
        <x:v>Female</x:v>
      </x:c>
      <x:c r="C25" s="14" t="n">
        <x:f>IF(D25="","",D25/(365/12))</x:f>
        <x:v>1.380821917808219</x:v>
      </x:c>
      <x:c r="D25" s="15" t="n">
        <x:v>42</x:v>
      </x:c>
      <x:c r="E25" s="17" t="n">
        <x:v>45345</x:v>
      </x:c>
      <x:c r="F25" s="2" t="str">
        <x:v>F1-3</x:v>
      </x:c>
      <x:c r="G25" s="2" t="str">
        <x:v>F1:6</x:v>
      </x:c>
      <x:c r="H25" s="2" t="str">
        <x:v>F1:8</x:v>
      </x:c>
      <x:c r="I25" s="2" t="str">
        <x:v>P0-5</x:v>
      </x:c>
      <x:c r="J25" s="2" t="str">
        <x:v>Cortex + midbrain</x:v>
      </x:c>
    </x:row>
    <x:row r="26" ht="21" customHeight="1">
      <x:c r="A26" s="2" t="str">
        <x:v>F2-19</x:v>
      </x:c>
      <x:c r="B26" s="2" t="str">
        <x:v>Female</x:v>
      </x:c>
      <x:c r="C26" s="14" t="n">
        <x:f>IF(D26="","",D26/(365/12))</x:f>
        <x:v>1.2821917808219176</x:v>
      </x:c>
      <x:c r="D26" s="15" t="n">
        <x:v>39</x:v>
      </x:c>
      <x:c r="E26" s="17" t="n">
        <x:v>45362</x:v>
      </x:c>
      <x:c r="F26" s="2" t="str">
        <x:v>F1-5</x:v>
      </x:c>
      <x:c r="G26" s="2" t="str">
        <x:v>F1:10</x:v>
      </x:c>
      <x:c r="H26" s="2" t="str">
        <x:v>F1:13</x:v>
      </x:c>
      <x:c r="I26" s="2" t="str">
        <x:v>P0-6</x:v>
      </x:c>
      <x:c r="J26" s="2" t="str">
        <x:v>Cortex + midbrain</x:v>
      </x:c>
    </x:row>
    <x:row r="27" ht="21" customHeight="1">
      <x:c r="A27" s="2" t="str">
        <x:v>F2-21</x:v>
      </x:c>
      <x:c r="B27" s="2" t="str">
        <x:v>Female</x:v>
      </x:c>
      <x:c r="C27" s="14" t="n">
        <x:f>IF(D27="","",D27/(365/12))</x:f>
        <x:v>1.2821917808219176</x:v>
      </x:c>
      <x:c r="D27" s="15" t="n">
        <x:v>39</x:v>
      </x:c>
      <x:c r="E27" s="17" t="n">
        <x:v>45362</x:v>
      </x:c>
      <x:c r="F27" s="2" t="str">
        <x:v>F1-5</x:v>
      </x:c>
      <x:c r="G27" s="2" t="str">
        <x:v>F1:10</x:v>
      </x:c>
      <x:c r="H27" s="2" t="str">
        <x:v>F1:13</x:v>
      </x:c>
      <x:c r="I27" s="2" t="str">
        <x:v>P0-6</x:v>
      </x:c>
      <x:c r="J27" s="2" t="str">
        <x:v>Cortex + midbrain</x:v>
      </x:c>
    </x:row>
    <x:row r="28" ht="21" customHeight="1">
      <x:c r="A28" s="2" t="str">
        <x:v>F2-118</x:v>
      </x:c>
      <x:c r="B28" s="2" t="str">
        <x:v>Female</x:v>
      </x:c>
      <x:c r="C28" s="14" t="n">
        <x:f>IF(D28="","",D28/(365/12))</x:f>
        <x:v>1.380821917808219</x:v>
      </x:c>
      <x:c r="D28" s="15" t="n">
        <x:v>42</x:v>
      </x:c>
      <x:c r="E28" s="17" t="n">
        <x:v>45538</x:v>
      </x:c>
      <x:c r="F28" s="2" t="str">
        <x:v>F1-2</x:v>
      </x:c>
      <x:c r="G28" s="2" t="str">
        <x:v>F1:7</x:v>
      </x:c>
      <x:c r="H28" s="2" t="str">
        <x:v>F1:5</x:v>
      </x:c>
      <x:c r="I28" s="2" t="str">
        <x:v>P0-5</x:v>
      </x:c>
      <x:c r="J28" s="2" t="str">
        <x:v>Midbrain only</x:v>
      </x:c>
    </x:row>
    <x:row r="29" ht="21" customHeight="1">
      <x:c r="A29" s="2" t="str">
        <x:v>F2-121</x:v>
      </x:c>
      <x:c r="B29" s="2" t="str">
        <x:v>Female</x:v>
      </x:c>
      <x:c r="C29" s="14" t="n">
        <x:f>IF(D29="","",D29/(365/12))</x:f>
        <x:v>1.380821917808219</x:v>
      </x:c>
      <x:c r="D29" s="15" t="n">
        <x:v>42</x:v>
      </x:c>
      <x:c r="E29" s="17" t="n">
        <x:v>45538</x:v>
      </x:c>
      <x:c r="F29" s="2" t="str">
        <x:v>F1-2</x:v>
      </x:c>
      <x:c r="G29" s="2" t="str">
        <x:v>F1:7</x:v>
      </x:c>
      <x:c r="H29" s="2" t="str">
        <x:v>F1:5</x:v>
      </x:c>
      <x:c r="I29" s="2" t="str">
        <x:v>P0-5</x:v>
      </x:c>
      <x:c r="J29" s="2" t="str">
        <x:v>Cortex + midbrain</x:v>
      </x:c>
    </x:row>
    <x:row r="30" ht="21" customHeight="1">
      <x:c r="A30" s="2" t="str">
        <x:v>F2-122</x:v>
      </x:c>
      <x:c r="B30" s="2" t="str">
        <x:v>Female</x:v>
      </x:c>
      <x:c r="C30" s="14" t="n">
        <x:f>IF(D30="","",D30/(365/12))</x:f>
        <x:v>1.380821917808219</x:v>
      </x:c>
      <x:c r="D30" s="15" t="n">
        <x:v>42</x:v>
      </x:c>
      <x:c r="E30" s="17" t="n">
        <x:v>45538</x:v>
      </x:c>
      <x:c r="F30" s="2" t="str">
        <x:v>F1-2</x:v>
      </x:c>
      <x:c r="G30" s="2" t="str">
        <x:v>F1:7</x:v>
      </x:c>
      <x:c r="H30" s="2" t="str">
        <x:v>F1:5</x:v>
      </x:c>
      <x:c r="I30" s="2" t="str">
        <x:v>P0-5</x:v>
      </x:c>
      <x:c r="J30" s="2" t="str">
        <x:v>Cortex + midbrain</x:v>
      </x:c>
    </x:row>
    <x:row r="31" ht="21" customHeight="1">
      <x:c r="A31" s="2" t="str">
        <x:v>F2-3</x:v>
      </x:c>
      <x:c r="B31" s="2" t="str">
        <x:v>Male</x:v>
      </x:c>
      <x:c r="C31" s="14" t="n">
        <x:f>IF(D31="","",D31/(365/12))</x:f>
        <x:v>1.347945205479452</x:v>
      </x:c>
      <x:c r="D31" s="15" t="n">
        <x:v>41</x:v>
      </x:c>
      <x:c r="E31" s="17" t="n">
        <x:v>45332</x:v>
      </x:c>
      <x:c r="F31" s="2" t="str">
        <x:v>F1-1</x:v>
      </x:c>
      <x:c r="G31" s="2" t="str">
        <x:v>F1:2</x:v>
      </x:c>
      <x:c r="H31" s="2" t="str">
        <x:v>F1:3</x:v>
      </x:c>
      <x:c r="I31" s="2" t="str">
        <x:v>P0-6</x:v>
      </x:c>
      <x:c r="J31" s="2" t="str">
        <x:v>Cortex + midbrain</x:v>
      </x:c>
    </x:row>
    <x:row r="32" ht="21" customHeight="1">
      <x:c r="A32" s="2" t="str">
        <x:v>F2-8</x:v>
      </x:c>
      <x:c r="B32" s="2" t="str">
        <x:v>Male</x:v>
      </x:c>
      <x:c r="C32" s="14" t="n">
        <x:f>IF(D32="","",D32/(365/12))</x:f>
        <x:v>1.380821917808219</x:v>
      </x:c>
      <x:c r="D32" s="15" t="n">
        <x:v>42</x:v>
      </x:c>
      <x:c r="E32" s="17" t="n">
        <x:v>45345</x:v>
      </x:c>
      <x:c r="F32" s="2" t="str">
        <x:v>F1-3</x:v>
      </x:c>
      <x:c r="G32" s="2" t="str">
        <x:v>F1:6</x:v>
      </x:c>
      <x:c r="H32" s="2" t="str">
        <x:v>F1:8</x:v>
      </x:c>
      <x:c r="I32" s="2" t="str">
        <x:v>P0-5</x:v>
      </x:c>
      <x:c r="J32" s="2" t="str">
        <x:v>Cortex + midbrain</x:v>
      </x:c>
    </x:row>
    <x:row r="33" ht="21" customHeight="1">
      <x:c r="A33" s="2" t="str">
        <x:v>F2-9</x:v>
      </x:c>
      <x:c r="B33" s="2" t="str">
        <x:v>Male</x:v>
      </x:c>
      <x:c r="C33" s="14" t="n">
        <x:f>IF(D33="","",D33/(365/12))</x:f>
        <x:v>1.380821917808219</x:v>
      </x:c>
      <x:c r="D33" s="15" t="n">
        <x:v>42</x:v>
      </x:c>
      <x:c r="E33" s="17" t="n">
        <x:v>45345</x:v>
      </x:c>
      <x:c r="F33" s="2" t="str">
        <x:v>F1-3</x:v>
      </x:c>
      <x:c r="G33" s="2" t="str">
        <x:v>F1:6</x:v>
      </x:c>
      <x:c r="H33" s="2" t="str">
        <x:v>F1:8</x:v>
      </x:c>
      <x:c r="I33" s="2" t="str">
        <x:v>P0-5</x:v>
      </x:c>
      <x:c r="J33" s="2" t="str">
        <x:v>Cortex only</x:v>
      </x:c>
    </x:row>
    <x:row r="34" ht="21" customHeight="1">
      <x:c r="A34" s="2" t="str">
        <x:v>F2-15</x:v>
      </x:c>
      <x:c r="B34" s="2" t="str">
        <x:v>Male</x:v>
      </x:c>
      <x:c r="C34" s="14" t="n">
        <x:f>IF(D34="","",D34/(365/12))</x:f>
        <x:v>1.380821917808219</x:v>
      </x:c>
      <x:c r="D34" s="15" t="n">
        <x:v>42</x:v>
      </x:c>
      <x:c r="E34" s="17" t="n">
        <x:v>45359</x:v>
      </x:c>
      <x:c r="F34" s="2" t="str">
        <x:v>F1-1</x:v>
      </x:c>
      <x:c r="G34" s="2" t="str">
        <x:v>F1:2</x:v>
      </x:c>
      <x:c r="H34" s="2" t="str">
        <x:v>F1:3</x:v>
      </x:c>
      <x:c r="I34" s="2" t="str">
        <x:v>P0-6</x:v>
      </x:c>
      <x:c r="J34" s="2" t="str">
        <x:v>Cortex + midbrain</x:v>
      </x:c>
    </x:row>
    <x:row r="35" ht="21" customHeight="1">
      <x:c r="A35" s="2" t="str">
        <x:v>F2-20</x:v>
      </x:c>
      <x:c r="B35" s="2" t="str">
        <x:v>Male</x:v>
      </x:c>
      <x:c r="C35" s="14" t="n">
        <x:f>IF(D35="","",D35/(365/12))</x:f>
        <x:v>1.2821917808219176</x:v>
      </x:c>
      <x:c r="D35" s="15" t="n">
        <x:v>39</x:v>
      </x:c>
      <x:c r="E35" s="17" t="n">
        <x:v>45362</x:v>
      </x:c>
      <x:c r="F35" s="2" t="str">
        <x:v>F1-5</x:v>
      </x:c>
      <x:c r="G35" s="2" t="str">
        <x:v>F1:10</x:v>
      </x:c>
      <x:c r="H35" s="2" t="str">
        <x:v>F1:13</x:v>
      </x:c>
      <x:c r="I35" s="2" t="str">
        <x:v>P0-6</x:v>
      </x:c>
      <x:c r="J35" s="2" t="str">
        <x:v>Cortex + midbrain</x:v>
      </x:c>
    </x:row>
    <x:row r="36" ht="21" customHeight="1">
      <x:c r="A36" s="2" t="str">
        <x:v>F2-23</x:v>
      </x:c>
      <x:c r="B36" s="2" t="str">
        <x:v>Male</x:v>
      </x:c>
      <x:c r="C36" s="14" t="n">
        <x:f>IF(D36="","",D36/(365/12))</x:f>
        <x:v>1.2821917808219176</x:v>
      </x:c>
      <x:c r="D36" s="15" t="n">
        <x:v>39</x:v>
      </x:c>
      <x:c r="E36" s="17" t="n">
        <x:v>45362</x:v>
      </x:c>
      <x:c r="F36" s="2" t="str">
        <x:v>F1-5</x:v>
      </x:c>
      <x:c r="G36" s="2" t="str">
        <x:v>F1:10</x:v>
      </x:c>
      <x:c r="H36" s="2" t="str">
        <x:v>F1:13</x:v>
      </x:c>
      <x:c r="I36" s="2" t="str">
        <x:v>P0-6</x:v>
      </x:c>
      <x:c r="J36" s="2" t="str">
        <x:v>Cortex + midbrain</x:v>
      </x:c>
    </x:row>
    <x:row r="37" ht="21" customHeight="1">
      <x:c r="A37" s="2" t="str">
        <x:v>F2-119</x:v>
      </x:c>
      <x:c r="B37" s="2" t="str">
        <x:v>Male</x:v>
      </x:c>
      <x:c r="C37" s="14" t="n">
        <x:f>IF(D37="","",D37/(365/12))</x:f>
        <x:v>1.380821917808219</x:v>
      </x:c>
      <x:c r="D37" s="15" t="n">
        <x:v>42</x:v>
      </x:c>
      <x:c r="E37" s="17" t="n">
        <x:v>45538</x:v>
      </x:c>
      <x:c r="F37" s="2" t="str">
        <x:v>F1-2</x:v>
      </x:c>
      <x:c r="G37" s="2" t="str">
        <x:v>F1:7</x:v>
      </x:c>
      <x:c r="H37" s="2" t="str">
        <x:v>F1:5</x:v>
      </x:c>
      <x:c r="I37" s="2" t="str">
        <x:v>P0-5</x:v>
      </x:c>
      <x:c r="J37" s="2" t="str">
        <x:v>Cortex + midbrain</x:v>
      </x:c>
    </x:row>
    <x:row r="38" ht="21" customHeight="1">
      <x:c r="A38" s="2" t="str">
        <x:v>F2-120</x:v>
      </x:c>
      <x:c r="B38" s="2" t="str">
        <x:v>Male</x:v>
      </x:c>
      <x:c r="C38" s="14" t="n">
        <x:f>IF(D38="","",D38/(365/12))</x:f>
        <x:v>1.380821917808219</x:v>
      </x:c>
      <x:c r="D38" s="15" t="n">
        <x:v>42</x:v>
      </x:c>
      <x:c r="E38" s="17" t="n">
        <x:v>45538</x:v>
      </x:c>
      <x:c r="F38" s="2" t="str">
        <x:v>F1-2</x:v>
      </x:c>
      <x:c r="G38" s="2" t="str">
        <x:v>F1:7</x:v>
      </x:c>
      <x:c r="H38" s="2" t="str">
        <x:v>F1:5</x:v>
      </x:c>
      <x:c r="I38" s="2" t="str">
        <x:v>P0-5</x:v>
      </x:c>
      <x:c r="J38" s="2" t="str">
        <x:v>Cortex + midbrain</x:v>
      </x:c>
    </x:row>
    <x:row r="39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 ht="20" customHeight="1">
      <x:c r="A40" s="6" t="str">
        <x:v>F1/F2 prefixes denote generation. Ages: days/(365/12). Birth-date/parental-cage groups are record-based litter proxies.</x:v>
      </x:c>
      <x:c r="B40" s="6"/>
      <x:c r="C40" s="6"/>
      <x:c r="D40" s="6"/>
      <x:c r="E40" s="6"/>
      <x:c r="F40" s="6"/>
      <x:c r="G40" s="6"/>
      <x:c r="H40" s="6"/>
      <x:c r="I40" s="6"/>
      <x:c r="J40" s="6"/>
    </x:row>
    <x:row r="41" ht="20" customHeight="1">
      <x:c r="A41" s="6" t="str">
        <x:v>Excluded specimens: F2-118 cortex (F2Fc_Rep6) and F2-9 midbrain (F2Mm_Rep3). Each donor’s other tissue was retained.</x:v>
      </x:c>
      <x:c r="B41" s="6"/>
      <x:c r="C41" s="6"/>
      <x:c r="D41" s="6"/>
      <x:c r="E41" s="6"/>
      <x:c r="F41" s="6"/>
      <x:c r="G41" s="6"/>
      <x:c r="H41" s="6"/>
      <x:c r="I41" s="6"/>
      <x:c r="J41" s="6"/>
    </x:row>
    <x:row r="42" ht="20" customHeight="1">
      <x:c r="A42" s="6" t="str">
        <x:v>F1 crosses: 11 donors from BW dams × SM2 sires and 5 reciprocal (P0-2). F2 parents trace to P0-5/P0-6.</x:v>
      </x:c>
      <x:c r="B42" s="6"/>
      <x:c r="C42" s="6"/>
      <x:c r="D42" s="6"/>
      <x:c r="E42" s="6"/>
      <x:c r="F42" s="6"/>
      <x:c r="G42" s="6"/>
      <x:c r="H42" s="6"/>
      <x:c r="I42" s="6"/>
      <x:c r="J42" s="6"/>
    </x:row>
    <x:row r="43" ht="20" customHeight="1">
      <x:c r="A43" s="6" t="str">
        <x:v>Parental cages are breeding cages, not housing groups. Four pairs per generation; F2 pairs share two P0 founder pairs.</x:v>
      </x:c>
      <x:c r="B43" s="6"/>
      <x:c r="C43" s="6"/>
      <x:c r="D43" s="6"/>
      <x:c r="E43" s="6"/>
      <x:c r="F43" s="6"/>
      <x:c r="G43" s="6"/>
      <x:c r="H43" s="6"/>
      <x:c r="I43" s="6"/>
      <x:c r="J43" s="6"/>
    </x:row>
  </x:sheetData>
  <x:pageMargins left="0.7" right="0.7" top="0.75" bottom="0.75" header="0.3" footer="0.3"/>
  <x:tableParts count="1">
    <x:tablePart xmlns:r="http://schemas.openxmlformats.org/officeDocument/2006/relationships" r:id="R6120694467354a1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19" hidden="0" customWidth="1"/>
    <x:col min="3" max="3" width="12" hidden="0" customWidth="1"/>
    <x:col min="4" max="4" width="10" hidden="0" customWidth="1"/>
    <x:col min="5" max="5" width="13" hidden="0" customWidth="1"/>
    <x:col min="6" max="6" width="14" hidden="0" customWidth="1"/>
    <x:col min="7" max="7" width="20" hidden="0" customWidth="1"/>
    <x:col min="8" max="8" width="26" hidden="0" customWidth="1"/>
    <x:col min="9" max="9" width="11" hidden="0" customWidth="1"/>
  </x:cols>
  <x:sheetData>
    <x:row r="1" ht="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7" customHeight="1">
      <x:c r="A2" s="4" t="str">
        <x:v>Supplementary Table S2. Plasma donors</x:v>
      </x:c>
      <x:c r="B2" s="5"/>
      <x:c r="C2" s="5"/>
      <x:c r="D2" s="5"/>
      <x:c r="E2" s="5"/>
      <x:c r="F2" s="5"/>
      <x:c r="G2" s="5"/>
      <x:c r="H2" s="5"/>
      <x:c r="I2" s="5"/>
    </x:row>
    <x:row r="3" ht="20" customHeight="1">
      <x:c r="A3" s="6" t="str">
        <x:v>12 virgin female donors: 6 F1 and 6 F2. The analysis retained 5 F1 and 6 F2 donors.</x:v>
      </x:c>
      <x:c r="B3" s="6"/>
      <x:c r="C3" s="6"/>
      <x:c r="D3" s="6"/>
      <x:c r="E3" s="6"/>
      <x:c r="F3" s="6"/>
      <x:c r="G3" s="6"/>
      <x:c r="H3" s="6"/>
      <x:c r="I3" s="2"/>
    </x:row>
    <x:row r="4" ht="20" customHeight="1">
      <x:c r="A4" s="6" t="str">
        <x:v>Sources: hybrid SM2 x BW mice.xlsx; 12.5.25 sample ID for proteomics.xlsx; All_expression.xlsx.</x:v>
      </x:c>
      <x:c r="B4" s="6"/>
      <x:c r="C4" s="6"/>
      <x:c r="D4" s="6"/>
      <x:c r="E4" s="6"/>
      <x:c r="F4" s="6"/>
      <x:c r="G4" s="6"/>
      <x:c r="H4" s="6"/>
      <x:c r="I4" s="2"/>
    </x:row>
    <x:row r="5" ht="8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35" customHeight="1">
      <x:c r="A6" s="20" t="str">
        <x:v>Donor ID</x:v>
      </x:c>
      <x:c r="B6" s="20" t="str">
        <x:v>Matrix sample ID</x:v>
      </x:c>
      <x:c r="C6" s="20" t="str">
        <x:v>Age (years)</x:v>
      </x:c>
      <x:c r="D6" s="20" t="str">
        <x:v>Age (days)</x:v>
      </x:c>
      <x:c r="E6" s="20" t="str">
        <x:v>Birth date</x:v>
      </x:c>
      <x:c r="F6" s="20" t="str">
        <x:v>Parental cage</x:v>
      </x:c>
      <x:c r="G6" s="20" t="str">
        <x:v>Parent IDs</x:v>
      </x:c>
      <x:c r="H6" s="20" t="str">
        <x:v>Parental origin</x:v>
      </x:c>
      <x:c r="I6" s="20" t="str">
        <x:v>Retained</x:v>
      </x:c>
    </x:row>
    <x:row r="7" ht="21" customHeight="1">
      <x:c r="A7" s="2" t="str">
        <x:v>F1-122</x:v>
      </x:c>
      <x:c r="B7" s="2" t="str">
        <x:v>122_RA1</x:v>
      </x:c>
      <x:c r="C7" s="14" t="n">
        <x:f>IF(D7="","",D7/365)</x:f>
        <x:v>1.4</x:v>
      </x:c>
      <x:c r="D7" s="15" t="n">
        <x:v>511</x:v>
      </x:c>
      <x:c r="E7" s="17" t="n">
        <x:v>45483</x:v>
      </x:c>
      <x:c r="F7" s="2" t="str">
        <x:v>P0-4</x:v>
      </x:c>
      <x:c r="G7" s="19" t="str">
        <x:v>40006 / 12422</x:v>
      </x:c>
      <x:c r="H7" s="19" t="str">
        <x:v>BW dam × SM2 sire</x:v>
      </x:c>
      <x:c r="I7" s="19" t="str">
        <x:v>Yes</x:v>
      </x:c>
    </x:row>
    <x:row r="8" ht="21" customHeight="1">
      <x:c r="A8" s="2" t="str">
        <x:v>F1-126</x:v>
      </x:c>
      <x:c r="B8" s="2" t="str">
        <x:v>126_RA1</x:v>
      </x:c>
      <x:c r="C8" s="14" t="n">
        <x:f>IF(D8="","",D8/365)</x:f>
        <x:v>1.3808219178082193</x:v>
      </x:c>
      <x:c r="D8" s="15" t="n">
        <x:v>504</x:v>
      </x:c>
      <x:c r="E8" s="17" t="n">
        <x:v>45490</x:v>
      </x:c>
      <x:c r="F8" s="2" t="str">
        <x:v>P0-7</x:v>
      </x:c>
      <x:c r="G8" s="19" t="str">
        <x:v>40027 / 12418</x:v>
      </x:c>
      <x:c r="H8" s="19" t="str">
        <x:v>BW dam × SM2 sire</x:v>
      </x:c>
      <x:c r="I8" s="19" t="str">
        <x:v>Yes</x:v>
      </x:c>
    </x:row>
    <x:row r="9" ht="21" customHeight="1">
      <x:c r="A9" s="2" t="str">
        <x:v>F1-134</x:v>
      </x:c>
      <x:c r="B9" s="2" t="str">
        <x:v>134_RA1</x:v>
      </x:c>
      <x:c r="C9" s="14" t="n">
        <x:f>IF(D9="","",D9/365)</x:f>
        <x:v>1.3342465753424657</x:v>
      </x:c>
      <x:c r="D9" s="15" t="n">
        <x:v>487</x:v>
      </x:c>
      <x:c r="E9" s="17" t="n">
        <x:v>45507</x:v>
      </x:c>
      <x:c r="F9" s="2" t="str">
        <x:v>P0-2</x:v>
      </x:c>
      <x:c r="G9" s="19" t="str">
        <x:v>12434 / 39957</x:v>
      </x:c>
      <x:c r="H9" s="19" t="str">
        <x:v>SM2 dam × BW sire</x:v>
      </x:c>
      <x:c r="I9" s="19" t="str">
        <x:v>No</x:v>
      </x:c>
    </x:row>
    <x:row r="10" ht="21" customHeight="1">
      <x:c r="A10" s="2" t="str">
        <x:v>F1-132</x:v>
      </x:c>
      <x:c r="B10" s="2" t="str">
        <x:v>132_RA1</x:v>
      </x:c>
      <x:c r="C10" s="14" t="n">
        <x:f>IF(D10="","",D10/365)</x:f>
        <x:v>1.3945205479452054</x:v>
      </x:c>
      <x:c r="D10" s="15" t="n">
        <x:v>509</x:v>
      </x:c>
      <x:c r="E10" s="17" t="n">
        <x:v>45490</x:v>
      </x:c>
      <x:c r="F10" s="2" t="str">
        <x:v>P0-7</x:v>
      </x:c>
      <x:c r="G10" s="19" t="str">
        <x:v>40027 / 12418</x:v>
      </x:c>
      <x:c r="H10" s="19" t="str">
        <x:v>BW dam × SM2 sire</x:v>
      </x:c>
      <x:c r="I10" s="19" t="str">
        <x:v>Yes</x:v>
      </x:c>
    </x:row>
    <x:row r="11" ht="21" customHeight="1">
      <x:c r="A11" s="2" t="str">
        <x:v>F1-145</x:v>
      </x:c>
      <x:c r="B11" s="2" t="str">
        <x:v>145_RA1</x:v>
      </x:c>
      <x:c r="C11" s="14" t="n">
        <x:f>IF(D11="","",D11/365)</x:f>
        <x:v>1.3068493150684932</x:v>
      </x:c>
      <x:c r="D11" s="15" t="n">
        <x:v>477</x:v>
      </x:c>
      <x:c r="E11" s="17" t="n">
        <x:v>45517</x:v>
      </x:c>
      <x:c r="F11" s="2" t="str">
        <x:v>P0-5</x:v>
      </x:c>
      <x:c r="G11" s="19" t="str">
        <x:v>39995 / 12409</x:v>
      </x:c>
      <x:c r="H11" s="19" t="str">
        <x:v>BW dam × SM2 sire</x:v>
      </x:c>
      <x:c r="I11" s="19" t="str">
        <x:v>Yes</x:v>
      </x:c>
    </x:row>
    <x:row r="12" ht="21" customHeight="1">
      <x:c r="A12" s="2" t="str">
        <x:v>F1-193</x:v>
      </x:c>
      <x:c r="B12" s="2" t="str">
        <x:v>193_RA1</x:v>
      </x:c>
      <x:c r="C12" s="14" t="n">
        <x:f>IF(D12="","",D12/365)</x:f>
        <x:v>1.0082191780821919</x:v>
      </x:c>
      <x:c r="D12" s="15" t="n">
        <x:v>368</x:v>
      </x:c>
      <x:c r="E12" s="17" t="n">
        <x:v>45627</x:v>
      </x:c>
      <x:c r="F12" s="2" t="str">
        <x:v>P0-2</x:v>
      </x:c>
      <x:c r="G12" s="19" t="str">
        <x:v>12434 / 39957</x:v>
      </x:c>
      <x:c r="H12" s="19" t="str">
        <x:v>SM2 dam × BW sire</x:v>
      </x:c>
      <x:c r="I12" s="19" t="str">
        <x:v>Yes</x:v>
      </x:c>
    </x:row>
    <x:row r="13" ht="21" customHeight="1">
      <x:c r="A13" s="2" t="str">
        <x:v>F2-85</x:v>
      </x:c>
      <x:c r="B13" s="2" t="str">
        <x:v>85_RA1</x:v>
      </x:c>
      <x:c r="C13" s="14" t="n">
        <x:f>IF(D13="","",D13/365)</x:f>
        <x:v>1.3863013698630138</x:v>
      </x:c>
      <x:c r="D13" s="15" t="n">
        <x:v>506</x:v>
      </x:c>
      <x:c r="E13" s="17" t="n">
        <x:v>45488</x:v>
      </x:c>
      <x:c r="F13" s="2" t="str">
        <x:v>F1-3</x:v>
      </x:c>
      <x:c r="G13" s="19" t="str">
        <x:v>F1-6 / F1-8</x:v>
      </x:c>
      <x:c r="H13" s="19" t="str">
        <x:v>P0-5 × P0-5</x:v>
      </x:c>
      <x:c r="I13" s="19" t="str">
        <x:v>Yes</x:v>
      </x:c>
    </x:row>
    <x:row r="14" ht="21" customHeight="1">
      <x:c r="A14" s="2" t="str">
        <x:v>F2-87</x:v>
      </x:c>
      <x:c r="B14" s="2" t="str">
        <x:v>87_RA1</x:v>
      </x:c>
      <x:c r="C14" s="14" t="n">
        <x:f>IF(D14="","",D14/365)</x:f>
        <x:v>1.3863013698630138</x:v>
      </x:c>
      <x:c r="D14" s="15" t="n">
        <x:v>506</x:v>
      </x:c>
      <x:c r="E14" s="17" t="n">
        <x:v>45488</x:v>
      </x:c>
      <x:c r="F14" s="2" t="str">
        <x:v>F1-3</x:v>
      </x:c>
      <x:c r="G14" s="19" t="str">
        <x:v>F1-6 / F1-8</x:v>
      </x:c>
      <x:c r="H14" s="19" t="str">
        <x:v>P0-5 × P0-5</x:v>
      </x:c>
      <x:c r="I14" s="19" t="str">
        <x:v>Yes</x:v>
      </x:c>
    </x:row>
    <x:row r="15" ht="21" customHeight="1">
      <x:c r="A15" s="2" t="str">
        <x:v>F2-95</x:v>
      </x:c>
      <x:c r="B15" s="2" t="str">
        <x:v>95_RA1</x:v>
      </x:c>
      <x:c r="C15" s="14" t="n">
        <x:f>IF(D15="","",D15/365)</x:f>
        <x:v>1.3808219178082193</x:v>
      </x:c>
      <x:c r="D15" s="15" t="n">
        <x:v>504</x:v>
      </x:c>
      <x:c r="E15" s="17" t="n">
        <x:v>45490</x:v>
      </x:c>
      <x:c r="F15" s="2" t="str">
        <x:v>F1-2</x:v>
      </x:c>
      <x:c r="G15" s="19" t="str">
        <x:v>F1-7 / F1-5</x:v>
      </x:c>
      <x:c r="H15" s="19" t="str">
        <x:v>P0-5 × P0-5</x:v>
      </x:c>
      <x:c r="I15" s="19" t="str">
        <x:v>Yes</x:v>
      </x:c>
    </x:row>
    <x:row r="16" ht="21" customHeight="1">
      <x:c r="A16" s="2" t="str">
        <x:v>F2-97</x:v>
      </x:c>
      <x:c r="B16" s="2" t="str">
        <x:v>97_RA1</x:v>
      </x:c>
      <x:c r="C16" s="14" t="n">
        <x:f>IF(D16="","",D16/365)</x:f>
        <x:v>1.358904109589041</x:v>
      </x:c>
      <x:c r="D16" s="15" t="n">
        <x:v>496</x:v>
      </x:c>
      <x:c r="E16" s="17" t="n">
        <x:v>45498</x:v>
      </x:c>
      <x:c r="F16" s="2" t="str">
        <x:v>F1-1</x:v>
      </x:c>
      <x:c r="G16" s="19" t="str">
        <x:v>F1-2 / F1-3</x:v>
      </x:c>
      <x:c r="H16" s="19" t="str">
        <x:v>P0-6 × P0-6</x:v>
      </x:c>
      <x:c r="I16" s="19" t="str">
        <x:v>Yes</x:v>
      </x:c>
    </x:row>
    <x:row r="17" ht="21" customHeight="1">
      <x:c r="A17" s="2" t="str">
        <x:v>F2-101</x:v>
      </x:c>
      <x:c r="B17" s="2" t="str">
        <x:v>101_RA1</x:v>
      </x:c>
      <x:c r="C17" s="14" t="n">
        <x:f>IF(D17="","",D17/365)</x:f>
        <x:v>1.3726027397260274</x:v>
      </x:c>
      <x:c r="D17" s="15" t="n">
        <x:v>501</x:v>
      </x:c>
      <x:c r="E17" s="17" t="n">
        <x:v>45498</x:v>
      </x:c>
      <x:c r="F17" s="2" t="str">
        <x:v>F1-1</x:v>
      </x:c>
      <x:c r="G17" s="19" t="str">
        <x:v>F1-2 / F1-3</x:v>
      </x:c>
      <x:c r="H17" s="19" t="str">
        <x:v>P0-6 × P0-6</x:v>
      </x:c>
      <x:c r="I17" s="19" t="str">
        <x:v>Yes</x:v>
      </x:c>
    </x:row>
    <x:row r="18" ht="21" customHeight="1">
      <x:c r="A18" s="2" t="str">
        <x:v>F2-123</x:v>
      </x:c>
      <x:c r="B18" s="2" t="str">
        <x:v>123_RA1</x:v>
      </x:c>
      <x:c r="C18" s="14" t="n">
        <x:f>IF(D18="","",D18/365)</x:f>
        <x:v>1.0082191780821919</x:v>
      </x:c>
      <x:c r="D18" s="15" t="n">
        <x:v>368</x:v>
      </x:c>
      <x:c r="E18" s="17" t="n">
        <x:v>45627</x:v>
      </x:c>
      <x:c r="F18" s="2" t="str">
        <x:v>F1-6</x:v>
      </x:c>
      <x:c r="G18" s="19" t="str">
        <x:v>F1-23 / F1-24</x:v>
      </x:c>
      <x:c r="H18" s="19" t="str">
        <x:v>P0-4 × P0-4</x:v>
      </x:c>
      <x:c r="I18" s="19" t="str">
        <x:v>Yes</x:v>
      </x:c>
    </x:row>
    <x:row r="19" ht="20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20" customHeight="1">
      <x:c r="A20" s="6" t="str">
        <x:v>F1/F2 prefixes denote generation. Age (years) = age (days)/365. F1-134 was excluded from analysis.</x:v>
      </x:c>
      <x:c r="B20" s="6"/>
      <x:c r="C20" s="6"/>
      <x:c r="D20" s="6"/>
      <x:c r="E20" s="6"/>
      <x:c r="F20" s="6"/>
      <x:c r="G20" s="6"/>
      <x:c r="H20" s="6"/>
      <x:c r="I20" s="6"/>
    </x:row>
    <x:row r="21" ht="20" customHeight="1">
      <x:c r="A21" s="6" t="str">
        <x:v>Parental cages identify breeding pairs. Plasma and RNA-seq donors are separate cohorts.</x:v>
      </x:c>
      <x:c r="B21" s="6"/>
      <x:c r="C21" s="6"/>
      <x:c r="D21" s="6"/>
      <x:c r="E21" s="6"/>
      <x:c r="F21" s="6"/>
      <x:c r="G21" s="6"/>
      <x:c r="H21" s="6"/>
      <x:c r="I21" s="6"/>
    </x:row>
    <x:row r="22" ht="20" customHeight="1">
      <x:c r="A22" s="6" t="str">
        <x:v>Parent IDs are unordered. F1- prefixes identify hybrid parents; unprefixed parent IDs identify P0 founders.</x:v>
      </x:c>
      <x:c r="B22" s="6"/>
      <x:c r="C22" s="6"/>
      <x:c r="D22" s="6"/>
      <x:c r="E22" s="6"/>
      <x:c r="F22" s="6"/>
      <x:c r="G22" s="6"/>
      <x:c r="H22" s="6"/>
      <x:c r="I22" s="6"/>
    </x:row>
    <x:row r="23" ht="20" customHeight="1">
      <x:c r="A23" s="18" t="str">
        <x:v>Parental origin: founder cross direction for F1 donors; P0 cages of both F1 parents for F2 donors.</x:v>
      </x:c>
      <x:c r="B23" s="18"/>
      <x:c r="C23" s="18"/>
      <x:c r="D23" s="18"/>
      <x:c r="E23" s="18"/>
      <x:c r="F23" s="18"/>
      <x:c r="G23" s="18"/>
      <x:c r="H23" s="18"/>
      <x:c r="I23" s="6"/>
    </x:row>
    <x:row r="24" ht="20" customHeight="1">
      <x:c r="A24" s="18" t="str">
        <x:v>For F2-123, parent IDs F1-23 and F1-24 are recorded, but their dam/sire assignments conflict between records.</x:v>
      </x:c>
      <x:c r="B24" s="18"/>
      <x:c r="C24" s="18"/>
      <x:c r="D24" s="18"/>
      <x:c r="E24" s="18"/>
      <x:c r="F24" s="18"/>
      <x:c r="G24" s="18"/>
      <x:c r="H24" s="18"/>
      <x:c r="I24" s="6"/>
    </x:row>
  </x:sheetData>
  <x:pageMargins left="0.7" right="0.7" top="0.75" bottom="0.75" header="0.3" footer="0.3"/>
  <x:tableParts count="1">
    <x:tablePart xmlns:r="http://schemas.openxmlformats.org/officeDocument/2006/relationships" r:id="R51de777d73634686"/>
  </x:tableParts>
</x:worksheet>
</file>