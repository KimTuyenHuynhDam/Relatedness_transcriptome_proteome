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huynhdam_email_sc_edu/Documents/Kiaris lab/peromyscus/relatedness pedigree/BMC Biology/V2/GitHub_parentage_update_2026-10-08/metadata/"/>
    </mc:Choice>
  </mc:AlternateContent>
  <xr:revisionPtr revIDLastSave="2" documentId="11_77AE0394C9870E24968691522A684CBA79D9184D" xr6:coauthVersionLast="47" xr6:coauthVersionMax="47" xr10:uidLastSave="{A977463F-7E03-4EB6-B7B3-FDBDDBBE9430}"/>
  <bookViews>
    <workbookView xWindow="28680" yWindow="-120" windowWidth="29040" windowHeight="15720" xr2:uid="{00000000-000D-0000-FFFF-FFFF00000000}"/>
  </bookViews>
  <sheets>
    <sheet name="RNA donors" sheetId="1" r:id="rId1"/>
    <sheet name="Plasma don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C15" i="2"/>
  <c r="C14" i="2"/>
  <c r="C13" i="2"/>
  <c r="C12" i="2"/>
  <c r="C11" i="2"/>
  <c r="C10" i="2"/>
  <c r="C9" i="2"/>
  <c r="C8" i="2"/>
  <c r="C7" i="2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<sst xmlns="http://schemas.openxmlformats.org/spreadsheetml/2006/main" count="327" uniqueCount="129">
  <si>
    <t>Supplementary Table S2. RNA donors</t>
  </si>
  <si>
    <t>32 animals (8 per generation × sex group), all virgin. Cortex and midbrain: 64 collected specimens, 62 retained.</t>
  </si>
  <si>
    <t>Donor ID</t>
  </si>
  <si>
    <t>Sex</t>
  </si>
  <si>
    <t>Age (months)</t>
  </si>
  <si>
    <t>Age (days)</t>
  </si>
  <si>
    <t>Birth date</t>
  </si>
  <si>
    <t>Parental cage</t>
  </si>
  <si>
    <t>Dam ID</t>
  </si>
  <si>
    <t>Sire ID</t>
  </si>
  <si>
    <t>P0 lineage</t>
  </si>
  <si>
    <t>Retained tissues</t>
  </si>
  <si>
    <t>F1-4</t>
  </si>
  <si>
    <t>Female</t>
  </si>
  <si>
    <t>P0-5</t>
  </si>
  <si>
    <t>P0:39995</t>
  </si>
  <si>
    <t>P0:12409</t>
  </si>
  <si>
    <t>Cortex + midbrain</t>
  </si>
  <si>
    <t>F1-28</t>
  </si>
  <si>
    <t>P0-6</t>
  </si>
  <si>
    <t>P0:40021</t>
  </si>
  <si>
    <t>P0:12381</t>
  </si>
  <si>
    <t>F1-32</t>
  </si>
  <si>
    <t>F1-150</t>
  </si>
  <si>
    <t>P0-4</t>
  </si>
  <si>
    <t>P0:40006</t>
  </si>
  <si>
    <t>P0:12422</t>
  </si>
  <si>
    <t>F1-153</t>
  </si>
  <si>
    <t>F1-154</t>
  </si>
  <si>
    <t>P0-2</t>
  </si>
  <si>
    <t>P0:12434</t>
  </si>
  <si>
    <t>P0:39957</t>
  </si>
  <si>
    <t>F1-156</t>
  </si>
  <si>
    <t>F1-158</t>
  </si>
  <si>
    <t>F1-29</t>
  </si>
  <si>
    <t>Male</t>
  </si>
  <si>
    <t>F1-30</t>
  </si>
  <si>
    <t>F1-35</t>
  </si>
  <si>
    <t>F1-36</t>
  </si>
  <si>
    <t>F1-151</t>
  </si>
  <si>
    <t>F1-152</t>
  </si>
  <si>
    <t>F1-155</t>
  </si>
  <si>
    <t>F1-159</t>
  </si>
  <si>
    <t>F2-1</t>
  </si>
  <si>
    <t>F1-1</t>
  </si>
  <si>
    <t>F1:2</t>
  </si>
  <si>
    <t>F1:3</t>
  </si>
  <si>
    <t>F2-2</t>
  </si>
  <si>
    <t>F2-11</t>
  </si>
  <si>
    <t>F1-3</t>
  </si>
  <si>
    <t>F1:6</t>
  </si>
  <si>
    <t>F1:8</t>
  </si>
  <si>
    <t>F2-19</t>
  </si>
  <si>
    <t>F1-5</t>
  </si>
  <si>
    <t>F1:10</t>
  </si>
  <si>
    <t>F1:13</t>
  </si>
  <si>
    <t>F2-21</t>
  </si>
  <si>
    <t>F2-118</t>
  </si>
  <si>
    <t>F1-2</t>
  </si>
  <si>
    <t>F1:7</t>
  </si>
  <si>
    <t>F1:5</t>
  </si>
  <si>
    <t>Midbrain only</t>
  </si>
  <si>
    <t>F2-121</t>
  </si>
  <si>
    <t>F2-122</t>
  </si>
  <si>
    <t>F2-3</t>
  </si>
  <si>
    <t>F2-8</t>
  </si>
  <si>
    <t>F2-9</t>
  </si>
  <si>
    <t>Cortex only</t>
  </si>
  <si>
    <t>F2-15</t>
  </si>
  <si>
    <t>F2-20</t>
  </si>
  <si>
    <t>F2-23</t>
  </si>
  <si>
    <t>F2-119</t>
  </si>
  <si>
    <t>F2-120</t>
  </si>
  <si>
    <t>F1/F2 prefixes denote generation. Ages: days/(365/12). Birth-date/parental-cage groups are record-based litter proxies.</t>
  </si>
  <si>
    <t>Excluded specimens: F2-118 cortex (F2Fc_Rep6) and F2-9 midbrain (F2Mm_Rep3). Each donor’s other tissue was retained.</t>
  </si>
  <si>
    <t>F1 crosses: 11 donors from BW dams × SM2 sires and 5 reciprocal (P0-2). F2 parents trace to P0-5/P0-6.</t>
  </si>
  <si>
    <t>Parental cages are breeding cages, not housing groups. Four pairs per generation; F2 pairs share two P0 founder pairs.</t>
  </si>
  <si>
    <t>Supplementary Table S2. Plasma donors</t>
  </si>
  <si>
    <t>12 virgin female donors: 6 F1 and 6 F2. The analysis retained 5 F1 and 6 F2 donors.</t>
  </si>
  <si>
    <t>Matrix sample ID</t>
  </si>
  <si>
    <t>Age (years)</t>
  </si>
  <si>
    <t>Parent IDs</t>
  </si>
  <si>
    <t>Parental origin</t>
  </si>
  <si>
    <t>Retained</t>
  </si>
  <si>
    <t>F1-122</t>
  </si>
  <si>
    <t>122_RA1</t>
  </si>
  <si>
    <t>40006 / 12422</t>
  </si>
  <si>
    <t>BW dam × SM2 sire</t>
  </si>
  <si>
    <t>Yes</t>
  </si>
  <si>
    <t>F1-126</t>
  </si>
  <si>
    <t>126_RA1</t>
  </si>
  <si>
    <t>P0-7</t>
  </si>
  <si>
    <t>40027 / 12418</t>
  </si>
  <si>
    <t>F1-134</t>
  </si>
  <si>
    <t>134_RA1</t>
  </si>
  <si>
    <t>12434 / 39957</t>
  </si>
  <si>
    <t>SM2 dam × BW sire</t>
  </si>
  <si>
    <t>No</t>
  </si>
  <si>
    <t>F1-132</t>
  </si>
  <si>
    <t>132_RA1</t>
  </si>
  <si>
    <t>F1-145</t>
  </si>
  <si>
    <t>145_RA1</t>
  </si>
  <si>
    <t>39995 / 12409</t>
  </si>
  <si>
    <t>F1-193</t>
  </si>
  <si>
    <t>193_RA1</t>
  </si>
  <si>
    <t>F2-85</t>
  </si>
  <si>
    <t>85_RA1</t>
  </si>
  <si>
    <t>F1-6 / F1-8</t>
  </si>
  <si>
    <t>P0-5 × P0-5</t>
  </si>
  <si>
    <t>F2-87</t>
  </si>
  <si>
    <t>87_RA1</t>
  </si>
  <si>
    <t>F2-95</t>
  </si>
  <si>
    <t>95_RA1</t>
  </si>
  <si>
    <t>F1-7 / F1-5</t>
  </si>
  <si>
    <t>F2-97</t>
  </si>
  <si>
    <t>97_RA1</t>
  </si>
  <si>
    <t>F1-2 / F1-3</t>
  </si>
  <si>
    <t>P0-6 × P0-6</t>
  </si>
  <si>
    <t>F2-101</t>
  </si>
  <si>
    <t>101_RA1</t>
  </si>
  <si>
    <t>F2-123</t>
  </si>
  <si>
    <t>123_RA1</t>
  </si>
  <si>
    <t>F1-6</t>
  </si>
  <si>
    <t>F1-23 / F1-24</t>
  </si>
  <si>
    <t>P0-4 × P0-4</t>
  </si>
  <si>
    <t>F1/F2 prefixes denote generation. Age (years) = age (days)/365. F1-134 was excluded from analysis.</t>
  </si>
  <si>
    <t>Parental cages identify breeding pairs. Plasma and RNA-seq donors are separate cohorts.</t>
  </si>
  <si>
    <t>Parent IDs are unordered. F1- prefixes identify hybrid parents; unprefixed parent IDs identify P0 founders.</t>
  </si>
  <si>
    <t>Parental origin: founder cross direction for F1 donors; P0 cages of both F1 parents for F2 donors.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</si>
</sst>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sz val="10"/>
      <color rgb="FF202124"/>
      <name val="Arial"/>
    </font>
    <font>
      <b/>
      <sz val="14"/>
      <color rgb="FF25364A"/>
      <name val="Arial"/>
    </font>
    <font>
      <sz val="10"/>
      <color rgb="FF4B5563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304C68"/>
      </patternFill>
    </fill>
    <fill>
      <patternFill patternType="solid">
        <fgColor rgb="FF304C68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B7C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NADonors" displayName="RNADonors" ref="A6:J38" totalsRowShown="0">
  <autoFilter ref="A6:J38" xr:uid="{00000000-0009-0000-0100-000001000000}"/>
  <tableColumns count="10">
    <tableColumn id="1" xr3:uid="{00000000-0010-0000-0000-000001000000}" name="Donor ID"/>
    <tableColumn id="2" xr3:uid="{00000000-0010-0000-0000-000002000000}" name="Sex"/>
    <tableColumn id="3" xr3:uid="{00000000-0010-0000-0000-000003000000}" name="Age (months)"/>
    <tableColumn id="4" xr3:uid="{00000000-0010-0000-0000-000004000000}" name="Age (days)"/>
    <tableColumn id="5" xr3:uid="{00000000-0010-0000-0000-000005000000}" name="Birth date"/>
    <tableColumn id="6" xr3:uid="{00000000-0010-0000-0000-000006000000}" name="Parental cage"/>
    <tableColumn id="7" xr3:uid="{00000000-0010-0000-0000-000007000000}" name="Dam ID"/>
    <tableColumn id="8" xr3:uid="{00000000-0010-0000-0000-000008000000}" name="Sire ID"/>
    <tableColumn id="9" xr3:uid="{00000000-0010-0000-0000-000009000000}" name="P0 lineage"/>
    <tableColumn id="10" xr3:uid="{00000000-0010-0000-0000-00000A000000}" name="Retained tiss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smaDonors" displayName="PlasmaDonors" ref="A6:I18" totalsRowShown="0">
  <autoFilter ref="A6:I18" xr:uid="{00000000-0009-0000-0100-000002000000}"/>
  <tableColumns count="9">
    <tableColumn id="1" xr3:uid="{00000000-0010-0000-0100-000001000000}" name="Donor ID"/>
    <tableColumn id="2" xr3:uid="{00000000-0010-0000-0100-000002000000}" name="Matrix sample ID"/>
    <tableColumn id="3" xr3:uid="{00000000-0010-0000-0100-000003000000}" name="Age (years)"/>
    <tableColumn id="4" xr3:uid="{00000000-0010-0000-0100-000004000000}" name="Age (days)"/>
    <tableColumn id="5" xr3:uid="{00000000-0010-0000-0100-000005000000}" name="Birth date"/>
    <tableColumn id="6" xr3:uid="{00000000-0010-0000-0100-000006000000}" name="Parental cage"/>
    <tableColumn id="7" xr3:uid="{00000000-0010-0000-0100-000007000000}" name="Parent IDs"/>
    <tableColumn id="8" xr3:uid="{00000000-0010-0000-0100-000008000000}" name="Parental origin"/>
    <tableColumn id="9" xr3:uid="{00000000-0010-0000-0100-000009000000}" name="Retai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showGridLines="0" tabSelected="1" workbookViewId="0">
      <pane xSplit="1" ySplit="6" topLeftCell="B33" activePane="bottomRight" state="frozen"/>
      <selection pane="topRight"/>
      <selection pane="bottomLeft"/>
      <selection pane="bottomRight" activeCell="A4" sqref="A4:XFD4"/>
    </sheetView>
  </sheetViews>
  <sheetFormatPr defaultRowHeight="14.25"/>
  <cols>
    <col min="1" max="1" width="13" customWidth="1"/>
    <col min="2" max="2" width="10" customWidth="1"/>
    <col min="3" max="3" width="12" customWidth="1"/>
    <col min="4" max="4" width="10" customWidth="1"/>
    <col min="5" max="5" width="13" customWidth="1"/>
    <col min="6" max="6" width="14" customWidth="1"/>
    <col min="7" max="8" width="13" customWidth="1"/>
    <col min="9" max="9" width="12" customWidth="1"/>
    <col min="10" max="10" width="24" customWidth="1"/>
  </cols>
  <sheetData>
    <row r="1" spans="1:10" ht="8.1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7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20.100000000000001" customHeight="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ht="20.100000000000001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8.1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5.1" customHeight="1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</row>
    <row r="7" spans="1:10" ht="21" customHeight="1">
      <c r="A7" s="1" t="s">
        <v>12</v>
      </c>
      <c r="B7" s="1" t="s">
        <v>13</v>
      </c>
      <c r="C7" s="6">
        <f t="shared" ref="C7:C38" si="0">IF(D7="","",D7/(365/12))</f>
        <v>1.4465753424657535</v>
      </c>
      <c r="D7" s="7">
        <v>44</v>
      </c>
      <c r="E7" s="8">
        <v>45277</v>
      </c>
      <c r="F7" s="1" t="s">
        <v>14</v>
      </c>
      <c r="G7" s="1" t="s">
        <v>15</v>
      </c>
      <c r="H7" s="1" t="s">
        <v>16</v>
      </c>
      <c r="I7" s="1" t="s">
        <v>14</v>
      </c>
      <c r="J7" s="1" t="s">
        <v>17</v>
      </c>
    </row>
    <row r="8" spans="1:10" ht="21" customHeight="1">
      <c r="A8" s="1" t="s">
        <v>18</v>
      </c>
      <c r="B8" s="1" t="s">
        <v>13</v>
      </c>
      <c r="C8" s="6">
        <f t="shared" si="0"/>
        <v>1.4136986301369863</v>
      </c>
      <c r="D8" s="7">
        <v>43</v>
      </c>
      <c r="E8" s="8">
        <v>45344</v>
      </c>
      <c r="F8" s="1" t="s">
        <v>19</v>
      </c>
      <c r="G8" s="1" t="s">
        <v>20</v>
      </c>
      <c r="H8" s="1" t="s">
        <v>21</v>
      </c>
      <c r="I8" s="1" t="s">
        <v>19</v>
      </c>
      <c r="J8" s="1" t="s">
        <v>17</v>
      </c>
    </row>
    <row r="9" spans="1:10" ht="21" customHeight="1">
      <c r="A9" s="1" t="s">
        <v>22</v>
      </c>
      <c r="B9" s="1" t="s">
        <v>13</v>
      </c>
      <c r="C9" s="6">
        <f t="shared" si="0"/>
        <v>1.2821917808219176</v>
      </c>
      <c r="D9" s="7">
        <v>39</v>
      </c>
      <c r="E9" s="8">
        <v>45355</v>
      </c>
      <c r="F9" s="1" t="s">
        <v>14</v>
      </c>
      <c r="G9" s="1" t="s">
        <v>15</v>
      </c>
      <c r="H9" s="1" t="s">
        <v>16</v>
      </c>
      <c r="I9" s="1" t="s">
        <v>14</v>
      </c>
      <c r="J9" s="1" t="s">
        <v>17</v>
      </c>
    </row>
    <row r="10" spans="1:10" ht="21" customHeight="1">
      <c r="A10" s="1" t="s">
        <v>23</v>
      </c>
      <c r="B10" s="1" t="s">
        <v>13</v>
      </c>
      <c r="C10" s="6">
        <f t="shared" si="0"/>
        <v>1.3808219178082191</v>
      </c>
      <c r="D10" s="7">
        <v>42</v>
      </c>
      <c r="E10" s="8">
        <v>45533</v>
      </c>
      <c r="F10" s="1" t="s">
        <v>24</v>
      </c>
      <c r="G10" s="1" t="s">
        <v>25</v>
      </c>
      <c r="H10" s="1" t="s">
        <v>26</v>
      </c>
      <c r="I10" s="1" t="s">
        <v>24</v>
      </c>
      <c r="J10" s="1" t="s">
        <v>17</v>
      </c>
    </row>
    <row r="11" spans="1:10" ht="21" customHeight="1">
      <c r="A11" s="1" t="s">
        <v>27</v>
      </c>
      <c r="B11" s="1" t="s">
        <v>13</v>
      </c>
      <c r="C11" s="6">
        <f t="shared" si="0"/>
        <v>1.3808219178082191</v>
      </c>
      <c r="D11" s="7">
        <v>42</v>
      </c>
      <c r="E11" s="8">
        <v>45533</v>
      </c>
      <c r="F11" s="1" t="s">
        <v>24</v>
      </c>
      <c r="G11" s="1" t="s">
        <v>25</v>
      </c>
      <c r="H11" s="1" t="s">
        <v>26</v>
      </c>
      <c r="I11" s="1" t="s">
        <v>24</v>
      </c>
      <c r="J11" s="1" t="s">
        <v>17</v>
      </c>
    </row>
    <row r="12" spans="1:10" ht="21" customHeight="1">
      <c r="A12" s="1" t="s">
        <v>28</v>
      </c>
      <c r="B12" s="1" t="s">
        <v>13</v>
      </c>
      <c r="C12" s="6">
        <f t="shared" si="0"/>
        <v>1.4136986301369863</v>
      </c>
      <c r="D12" s="7">
        <v>43</v>
      </c>
      <c r="E12" s="8">
        <v>45537</v>
      </c>
      <c r="F12" s="1" t="s">
        <v>29</v>
      </c>
      <c r="G12" s="1" t="s">
        <v>30</v>
      </c>
      <c r="H12" s="1" t="s">
        <v>31</v>
      </c>
      <c r="I12" s="1" t="s">
        <v>29</v>
      </c>
      <c r="J12" s="1" t="s">
        <v>17</v>
      </c>
    </row>
    <row r="13" spans="1:10" ht="21" customHeight="1">
      <c r="A13" s="1" t="s">
        <v>32</v>
      </c>
      <c r="B13" s="1" t="s">
        <v>13</v>
      </c>
      <c r="C13" s="6">
        <f t="shared" si="0"/>
        <v>1.4136986301369863</v>
      </c>
      <c r="D13" s="7">
        <v>43</v>
      </c>
      <c r="E13" s="8">
        <v>45537</v>
      </c>
      <c r="F13" s="1" t="s">
        <v>29</v>
      </c>
      <c r="G13" s="1" t="s">
        <v>30</v>
      </c>
      <c r="H13" s="1" t="s">
        <v>31</v>
      </c>
      <c r="I13" s="1" t="s">
        <v>29</v>
      </c>
      <c r="J13" s="1" t="s">
        <v>17</v>
      </c>
    </row>
    <row r="14" spans="1:10" ht="21" customHeight="1">
      <c r="A14" s="1" t="s">
        <v>33</v>
      </c>
      <c r="B14" s="1" t="s">
        <v>13</v>
      </c>
      <c r="C14" s="6">
        <f t="shared" si="0"/>
        <v>1.4136986301369863</v>
      </c>
      <c r="D14" s="7">
        <v>43</v>
      </c>
      <c r="E14" s="8">
        <v>45537</v>
      </c>
      <c r="F14" s="1" t="s">
        <v>29</v>
      </c>
      <c r="G14" s="1" t="s">
        <v>30</v>
      </c>
      <c r="H14" s="1" t="s">
        <v>31</v>
      </c>
      <c r="I14" s="1" t="s">
        <v>29</v>
      </c>
      <c r="J14" s="1" t="s">
        <v>17</v>
      </c>
    </row>
    <row r="15" spans="1:10" ht="21" customHeight="1">
      <c r="A15" s="1" t="s">
        <v>34</v>
      </c>
      <c r="B15" s="1" t="s">
        <v>35</v>
      </c>
      <c r="C15" s="6">
        <f t="shared" si="0"/>
        <v>1.4136986301369863</v>
      </c>
      <c r="D15" s="7">
        <v>43</v>
      </c>
      <c r="E15" s="8">
        <v>45344</v>
      </c>
      <c r="F15" s="1" t="s">
        <v>19</v>
      </c>
      <c r="G15" s="1" t="s">
        <v>20</v>
      </c>
      <c r="H15" s="1" t="s">
        <v>21</v>
      </c>
      <c r="I15" s="1" t="s">
        <v>19</v>
      </c>
      <c r="J15" s="1" t="s">
        <v>17</v>
      </c>
    </row>
    <row r="16" spans="1:10" ht="21" customHeight="1">
      <c r="A16" s="1" t="s">
        <v>36</v>
      </c>
      <c r="B16" s="1" t="s">
        <v>35</v>
      </c>
      <c r="C16" s="6">
        <f t="shared" si="0"/>
        <v>1.4136986301369863</v>
      </c>
      <c r="D16" s="7">
        <v>43</v>
      </c>
      <c r="E16" s="8">
        <v>45344</v>
      </c>
      <c r="F16" s="1" t="s">
        <v>19</v>
      </c>
      <c r="G16" s="1" t="s">
        <v>20</v>
      </c>
      <c r="H16" s="1" t="s">
        <v>21</v>
      </c>
      <c r="I16" s="1" t="s">
        <v>19</v>
      </c>
      <c r="J16" s="1" t="s">
        <v>17</v>
      </c>
    </row>
    <row r="17" spans="1:10" ht="21" customHeight="1">
      <c r="A17" s="1" t="s">
        <v>37</v>
      </c>
      <c r="B17" s="1" t="s">
        <v>35</v>
      </c>
      <c r="C17" s="6">
        <f t="shared" si="0"/>
        <v>1.2821917808219176</v>
      </c>
      <c r="D17" s="7">
        <v>39</v>
      </c>
      <c r="E17" s="8">
        <v>45355</v>
      </c>
      <c r="F17" s="1" t="s">
        <v>14</v>
      </c>
      <c r="G17" s="1" t="s">
        <v>15</v>
      </c>
      <c r="H17" s="1" t="s">
        <v>16</v>
      </c>
      <c r="I17" s="1" t="s">
        <v>14</v>
      </c>
      <c r="J17" s="1" t="s">
        <v>17</v>
      </c>
    </row>
    <row r="18" spans="1:10" ht="21" customHeight="1">
      <c r="A18" s="1" t="s">
        <v>38</v>
      </c>
      <c r="B18" s="1" t="s">
        <v>35</v>
      </c>
      <c r="C18" s="6">
        <f t="shared" si="0"/>
        <v>1.2821917808219176</v>
      </c>
      <c r="D18" s="7">
        <v>39</v>
      </c>
      <c r="E18" s="8">
        <v>45355</v>
      </c>
      <c r="F18" s="1" t="s">
        <v>14</v>
      </c>
      <c r="G18" s="1" t="s">
        <v>15</v>
      </c>
      <c r="H18" s="1" t="s">
        <v>16</v>
      </c>
      <c r="I18" s="1" t="s">
        <v>14</v>
      </c>
      <c r="J18" s="1" t="s">
        <v>17</v>
      </c>
    </row>
    <row r="19" spans="1:10" ht="21" customHeight="1">
      <c r="A19" s="1" t="s">
        <v>39</v>
      </c>
      <c r="B19" s="1" t="s">
        <v>35</v>
      </c>
      <c r="C19" s="6">
        <f t="shared" si="0"/>
        <v>1.3808219178082191</v>
      </c>
      <c r="D19" s="7">
        <v>42</v>
      </c>
      <c r="E19" s="8">
        <v>45533</v>
      </c>
      <c r="F19" s="1" t="s">
        <v>24</v>
      </c>
      <c r="G19" s="1" t="s">
        <v>25</v>
      </c>
      <c r="H19" s="1" t="s">
        <v>26</v>
      </c>
      <c r="I19" s="1" t="s">
        <v>24</v>
      </c>
      <c r="J19" s="1" t="s">
        <v>17</v>
      </c>
    </row>
    <row r="20" spans="1:10" ht="21" customHeight="1">
      <c r="A20" s="1" t="s">
        <v>40</v>
      </c>
      <c r="B20" s="1" t="s">
        <v>35</v>
      </c>
      <c r="C20" s="6">
        <f t="shared" si="0"/>
        <v>1.3808219178082191</v>
      </c>
      <c r="D20" s="7">
        <v>42</v>
      </c>
      <c r="E20" s="8">
        <v>45533</v>
      </c>
      <c r="F20" s="1" t="s">
        <v>24</v>
      </c>
      <c r="G20" s="1" t="s">
        <v>25</v>
      </c>
      <c r="H20" s="1" t="s">
        <v>26</v>
      </c>
      <c r="I20" s="1" t="s">
        <v>24</v>
      </c>
      <c r="J20" s="1" t="s">
        <v>17</v>
      </c>
    </row>
    <row r="21" spans="1:10" ht="21" customHeight="1">
      <c r="A21" s="1" t="s">
        <v>41</v>
      </c>
      <c r="B21" s="1" t="s">
        <v>35</v>
      </c>
      <c r="C21" s="6">
        <f t="shared" si="0"/>
        <v>1.4136986301369863</v>
      </c>
      <c r="D21" s="7">
        <v>43</v>
      </c>
      <c r="E21" s="8">
        <v>45537</v>
      </c>
      <c r="F21" s="1" t="s">
        <v>29</v>
      </c>
      <c r="G21" s="1" t="s">
        <v>30</v>
      </c>
      <c r="H21" s="1" t="s">
        <v>31</v>
      </c>
      <c r="I21" s="1" t="s">
        <v>29</v>
      </c>
      <c r="J21" s="1" t="s">
        <v>17</v>
      </c>
    </row>
    <row r="22" spans="1:10" ht="21" customHeight="1">
      <c r="A22" s="1" t="s">
        <v>42</v>
      </c>
      <c r="B22" s="1" t="s">
        <v>35</v>
      </c>
      <c r="C22" s="6">
        <f t="shared" si="0"/>
        <v>1.4136986301369863</v>
      </c>
      <c r="D22" s="7">
        <v>43</v>
      </c>
      <c r="E22" s="8">
        <v>45537</v>
      </c>
      <c r="F22" s="1" t="s">
        <v>29</v>
      </c>
      <c r="G22" s="1" t="s">
        <v>30</v>
      </c>
      <c r="H22" s="1" t="s">
        <v>31</v>
      </c>
      <c r="I22" s="1" t="s">
        <v>29</v>
      </c>
      <c r="J22" s="1" t="s">
        <v>17</v>
      </c>
    </row>
    <row r="23" spans="1:10" ht="21" customHeight="1">
      <c r="A23" s="1" t="s">
        <v>43</v>
      </c>
      <c r="B23" s="1" t="s">
        <v>13</v>
      </c>
      <c r="C23" s="6">
        <f t="shared" si="0"/>
        <v>1.3479452054794521</v>
      </c>
      <c r="D23" s="7">
        <v>41</v>
      </c>
      <c r="E23" s="8">
        <v>45332</v>
      </c>
      <c r="F23" s="1" t="s">
        <v>44</v>
      </c>
      <c r="G23" s="1" t="s">
        <v>45</v>
      </c>
      <c r="H23" s="1" t="s">
        <v>46</v>
      </c>
      <c r="I23" s="1" t="s">
        <v>19</v>
      </c>
      <c r="J23" s="1" t="s">
        <v>17</v>
      </c>
    </row>
    <row r="24" spans="1:10" ht="21" customHeight="1">
      <c r="A24" s="1" t="s">
        <v>47</v>
      </c>
      <c r="B24" s="1" t="s">
        <v>13</v>
      </c>
      <c r="C24" s="6">
        <f t="shared" si="0"/>
        <v>1.3479452054794521</v>
      </c>
      <c r="D24" s="7">
        <v>41</v>
      </c>
      <c r="E24" s="8">
        <v>45332</v>
      </c>
      <c r="F24" s="1" t="s">
        <v>44</v>
      </c>
      <c r="G24" s="1" t="s">
        <v>45</v>
      </c>
      <c r="H24" s="1" t="s">
        <v>46</v>
      </c>
      <c r="I24" s="1" t="s">
        <v>19</v>
      </c>
      <c r="J24" s="1" t="s">
        <v>17</v>
      </c>
    </row>
    <row r="25" spans="1:10" ht="21" customHeight="1">
      <c r="A25" s="1" t="s">
        <v>48</v>
      </c>
      <c r="B25" s="1" t="s">
        <v>13</v>
      </c>
      <c r="C25" s="6">
        <f t="shared" si="0"/>
        <v>1.3808219178082191</v>
      </c>
      <c r="D25" s="7">
        <v>42</v>
      </c>
      <c r="E25" s="8">
        <v>45345</v>
      </c>
      <c r="F25" s="1" t="s">
        <v>49</v>
      </c>
      <c r="G25" s="1" t="s">
        <v>50</v>
      </c>
      <c r="H25" s="1" t="s">
        <v>51</v>
      </c>
      <c r="I25" s="1" t="s">
        <v>14</v>
      </c>
      <c r="J25" s="1" t="s">
        <v>17</v>
      </c>
    </row>
    <row r="26" spans="1:10" ht="21" customHeight="1">
      <c r="A26" s="1" t="s">
        <v>52</v>
      </c>
      <c r="B26" s="1" t="s">
        <v>13</v>
      </c>
      <c r="C26" s="6">
        <f t="shared" si="0"/>
        <v>1.2821917808219176</v>
      </c>
      <c r="D26" s="7">
        <v>39</v>
      </c>
      <c r="E26" s="8">
        <v>45362</v>
      </c>
      <c r="F26" s="1" t="s">
        <v>53</v>
      </c>
      <c r="G26" s="1" t="s">
        <v>54</v>
      </c>
      <c r="H26" s="1" t="s">
        <v>55</v>
      </c>
      <c r="I26" s="1" t="s">
        <v>19</v>
      </c>
      <c r="J26" s="1" t="s">
        <v>17</v>
      </c>
    </row>
    <row r="27" spans="1:10" ht="21" customHeight="1">
      <c r="A27" s="1" t="s">
        <v>56</v>
      </c>
      <c r="B27" s="1" t="s">
        <v>13</v>
      </c>
      <c r="C27" s="6">
        <f t="shared" si="0"/>
        <v>1.2821917808219176</v>
      </c>
      <c r="D27" s="7">
        <v>39</v>
      </c>
      <c r="E27" s="8">
        <v>45362</v>
      </c>
      <c r="F27" s="1" t="s">
        <v>53</v>
      </c>
      <c r="G27" s="1" t="s">
        <v>54</v>
      </c>
      <c r="H27" s="1" t="s">
        <v>55</v>
      </c>
      <c r="I27" s="1" t="s">
        <v>19</v>
      </c>
      <c r="J27" s="1" t="s">
        <v>17</v>
      </c>
    </row>
    <row r="28" spans="1:10" ht="21" customHeight="1">
      <c r="A28" s="1" t="s">
        <v>57</v>
      </c>
      <c r="B28" s="1" t="s">
        <v>13</v>
      </c>
      <c r="C28" s="6">
        <f t="shared" si="0"/>
        <v>1.3808219178082191</v>
      </c>
      <c r="D28" s="7">
        <v>42</v>
      </c>
      <c r="E28" s="8">
        <v>45538</v>
      </c>
      <c r="F28" s="1" t="s">
        <v>58</v>
      </c>
      <c r="G28" s="1" t="s">
        <v>59</v>
      </c>
      <c r="H28" s="1" t="s">
        <v>60</v>
      </c>
      <c r="I28" s="1" t="s">
        <v>14</v>
      </c>
      <c r="J28" s="1" t="s">
        <v>61</v>
      </c>
    </row>
    <row r="29" spans="1:10" ht="21" customHeight="1">
      <c r="A29" s="1" t="s">
        <v>62</v>
      </c>
      <c r="B29" s="1" t="s">
        <v>13</v>
      </c>
      <c r="C29" s="6">
        <f t="shared" si="0"/>
        <v>1.3808219178082191</v>
      </c>
      <c r="D29" s="7">
        <v>42</v>
      </c>
      <c r="E29" s="8">
        <v>45538</v>
      </c>
      <c r="F29" s="1" t="s">
        <v>58</v>
      </c>
      <c r="G29" s="1" t="s">
        <v>59</v>
      </c>
      <c r="H29" s="1" t="s">
        <v>60</v>
      </c>
      <c r="I29" s="1" t="s">
        <v>14</v>
      </c>
      <c r="J29" s="1" t="s">
        <v>17</v>
      </c>
    </row>
    <row r="30" spans="1:10" ht="21" customHeight="1">
      <c r="A30" s="1" t="s">
        <v>63</v>
      </c>
      <c r="B30" s="1" t="s">
        <v>13</v>
      </c>
      <c r="C30" s="6">
        <f t="shared" si="0"/>
        <v>1.3808219178082191</v>
      </c>
      <c r="D30" s="7">
        <v>42</v>
      </c>
      <c r="E30" s="8">
        <v>45538</v>
      </c>
      <c r="F30" s="1" t="s">
        <v>58</v>
      </c>
      <c r="G30" s="1" t="s">
        <v>59</v>
      </c>
      <c r="H30" s="1" t="s">
        <v>60</v>
      </c>
      <c r="I30" s="1" t="s">
        <v>14</v>
      </c>
      <c r="J30" s="1" t="s">
        <v>17</v>
      </c>
    </row>
    <row r="31" spans="1:10" ht="21" customHeight="1">
      <c r="A31" s="1" t="s">
        <v>64</v>
      </c>
      <c r="B31" s="1" t="s">
        <v>35</v>
      </c>
      <c r="C31" s="6">
        <f t="shared" si="0"/>
        <v>1.3479452054794521</v>
      </c>
      <c r="D31" s="7">
        <v>41</v>
      </c>
      <c r="E31" s="8">
        <v>45332</v>
      </c>
      <c r="F31" s="1" t="s">
        <v>44</v>
      </c>
      <c r="G31" s="1" t="s">
        <v>45</v>
      </c>
      <c r="H31" s="1" t="s">
        <v>46</v>
      </c>
      <c r="I31" s="1" t="s">
        <v>19</v>
      </c>
      <c r="J31" s="1" t="s">
        <v>17</v>
      </c>
    </row>
    <row r="32" spans="1:10" ht="21" customHeight="1">
      <c r="A32" s="1" t="s">
        <v>65</v>
      </c>
      <c r="B32" s="1" t="s">
        <v>35</v>
      </c>
      <c r="C32" s="6">
        <f t="shared" si="0"/>
        <v>1.3808219178082191</v>
      </c>
      <c r="D32" s="7">
        <v>42</v>
      </c>
      <c r="E32" s="8">
        <v>45345</v>
      </c>
      <c r="F32" s="1" t="s">
        <v>49</v>
      </c>
      <c r="G32" s="1" t="s">
        <v>50</v>
      </c>
      <c r="H32" s="1" t="s">
        <v>51</v>
      </c>
      <c r="I32" s="1" t="s">
        <v>14</v>
      </c>
      <c r="J32" s="1" t="s">
        <v>17</v>
      </c>
    </row>
    <row r="33" spans="1:10" ht="21" customHeight="1">
      <c r="A33" s="1" t="s">
        <v>66</v>
      </c>
      <c r="B33" s="1" t="s">
        <v>35</v>
      </c>
      <c r="C33" s="6">
        <f t="shared" si="0"/>
        <v>1.3808219178082191</v>
      </c>
      <c r="D33" s="7">
        <v>42</v>
      </c>
      <c r="E33" s="8">
        <v>45345</v>
      </c>
      <c r="F33" s="1" t="s">
        <v>49</v>
      </c>
      <c r="G33" s="1" t="s">
        <v>50</v>
      </c>
      <c r="H33" s="1" t="s">
        <v>51</v>
      </c>
      <c r="I33" s="1" t="s">
        <v>14</v>
      </c>
      <c r="J33" s="1" t="s">
        <v>67</v>
      </c>
    </row>
    <row r="34" spans="1:10" ht="21" customHeight="1">
      <c r="A34" s="1" t="s">
        <v>68</v>
      </c>
      <c r="B34" s="1" t="s">
        <v>35</v>
      </c>
      <c r="C34" s="6">
        <f t="shared" si="0"/>
        <v>1.3808219178082191</v>
      </c>
      <c r="D34" s="7">
        <v>42</v>
      </c>
      <c r="E34" s="8">
        <v>45359</v>
      </c>
      <c r="F34" s="1" t="s">
        <v>44</v>
      </c>
      <c r="G34" s="1" t="s">
        <v>45</v>
      </c>
      <c r="H34" s="1" t="s">
        <v>46</v>
      </c>
      <c r="I34" s="1" t="s">
        <v>19</v>
      </c>
      <c r="J34" s="1" t="s">
        <v>17</v>
      </c>
    </row>
    <row r="35" spans="1:10" ht="21" customHeight="1">
      <c r="A35" s="1" t="s">
        <v>69</v>
      </c>
      <c r="B35" s="1" t="s">
        <v>35</v>
      </c>
      <c r="C35" s="6">
        <f t="shared" si="0"/>
        <v>1.2821917808219176</v>
      </c>
      <c r="D35" s="7">
        <v>39</v>
      </c>
      <c r="E35" s="8">
        <v>45362</v>
      </c>
      <c r="F35" s="1" t="s">
        <v>53</v>
      </c>
      <c r="G35" s="1" t="s">
        <v>54</v>
      </c>
      <c r="H35" s="1" t="s">
        <v>55</v>
      </c>
      <c r="I35" s="1" t="s">
        <v>19</v>
      </c>
      <c r="J35" s="1" t="s">
        <v>17</v>
      </c>
    </row>
    <row r="36" spans="1:10" ht="21" customHeight="1">
      <c r="A36" s="1" t="s">
        <v>70</v>
      </c>
      <c r="B36" s="1" t="s">
        <v>35</v>
      </c>
      <c r="C36" s="6">
        <f t="shared" si="0"/>
        <v>1.2821917808219176</v>
      </c>
      <c r="D36" s="7">
        <v>39</v>
      </c>
      <c r="E36" s="8">
        <v>45362</v>
      </c>
      <c r="F36" s="1" t="s">
        <v>53</v>
      </c>
      <c r="G36" s="1" t="s">
        <v>54</v>
      </c>
      <c r="H36" s="1" t="s">
        <v>55</v>
      </c>
      <c r="I36" s="1" t="s">
        <v>19</v>
      </c>
      <c r="J36" s="1" t="s">
        <v>17</v>
      </c>
    </row>
    <row r="37" spans="1:10" ht="21" customHeight="1">
      <c r="A37" s="1" t="s">
        <v>71</v>
      </c>
      <c r="B37" s="1" t="s">
        <v>35</v>
      </c>
      <c r="C37" s="6">
        <f t="shared" si="0"/>
        <v>1.3808219178082191</v>
      </c>
      <c r="D37" s="7">
        <v>42</v>
      </c>
      <c r="E37" s="8">
        <v>45538</v>
      </c>
      <c r="F37" s="1" t="s">
        <v>58</v>
      </c>
      <c r="G37" s="1" t="s">
        <v>59</v>
      </c>
      <c r="H37" s="1" t="s">
        <v>60</v>
      </c>
      <c r="I37" s="1" t="s">
        <v>14</v>
      </c>
      <c r="J37" s="1" t="s">
        <v>17</v>
      </c>
    </row>
    <row r="38" spans="1:10" ht="21" customHeight="1">
      <c r="A38" s="1" t="s">
        <v>72</v>
      </c>
      <c r="B38" s="1" t="s">
        <v>35</v>
      </c>
      <c r="C38" s="6">
        <f t="shared" si="0"/>
        <v>1.3808219178082191</v>
      </c>
      <c r="D38" s="7">
        <v>42</v>
      </c>
      <c r="E38" s="8">
        <v>45538</v>
      </c>
      <c r="F38" s="1" t="s">
        <v>58</v>
      </c>
      <c r="G38" s="1" t="s">
        <v>59</v>
      </c>
      <c r="H38" s="1" t="s">
        <v>60</v>
      </c>
      <c r="I38" s="1" t="s">
        <v>14</v>
      </c>
      <c r="J38" s="1" t="s">
        <v>17</v>
      </c>
    </row>
    <row r="39" spans="1:10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0.100000000000001" customHeight="1">
      <c r="A40" s="4" t="s">
        <v>73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 ht="20.100000000000001" customHeight="1">
      <c r="A41" s="4" t="s">
        <v>74</v>
      </c>
      <c r="B41" s="4"/>
      <c r="C41" s="4"/>
      <c r="D41" s="4"/>
      <c r="E41" s="4"/>
      <c r="F41" s="4"/>
      <c r="G41" s="4"/>
      <c r="H41" s="4"/>
      <c r="I41" s="4"/>
      <c r="J41" s="4"/>
    </row>
    <row r="42" spans="1:10" ht="20.100000000000001" customHeight="1">
      <c r="A42" s="4" t="s">
        <v>75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 ht="20.100000000000001" customHeight="1">
      <c r="A43" s="4" t="s">
        <v>76</v>
      </c>
      <c r="B43" s="4"/>
      <c r="C43" s="4"/>
      <c r="D43" s="4"/>
      <c r="E43" s="4"/>
      <c r="F43" s="4"/>
      <c r="G43" s="4"/>
      <c r="H43" s="4"/>
      <c r="I43" s="4"/>
      <c r="J43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4" sqref="A4:XFD4"/>
    </sheetView>
  </sheetViews>
  <sheetFormatPr defaultRowHeight="14.25"/>
  <cols>
    <col min="1" max="1" width="13" customWidth="1"/>
    <col min="2" max="2" width="19" customWidth="1"/>
    <col min="3" max="3" width="12" customWidth="1"/>
    <col min="4" max="4" width="10" customWidth="1"/>
    <col min="5" max="5" width="13" customWidth="1"/>
    <col min="6" max="6" width="14" customWidth="1"/>
    <col min="7" max="7" width="20" customWidth="1"/>
    <col min="8" max="8" width="26" customWidth="1"/>
    <col min="9" max="9" width="11" customWidth="1"/>
  </cols>
  <sheetData>
    <row r="1" spans="1:9" ht="8.1" customHeight="1">
      <c r="A1" s="1"/>
      <c r="B1" s="1"/>
      <c r="C1" s="1"/>
      <c r="D1" s="1"/>
      <c r="E1" s="1"/>
      <c r="F1" s="1"/>
      <c r="G1" s="1"/>
      <c r="H1" s="1"/>
      <c r="I1" s="1"/>
    </row>
    <row r="2" spans="1:9" ht="27" customHeight="1">
      <c r="A2" s="2" t="s">
        <v>77</v>
      </c>
      <c r="B2" s="3"/>
      <c r="C2" s="3"/>
      <c r="D2" s="3"/>
      <c r="E2" s="3"/>
      <c r="F2" s="3"/>
      <c r="G2" s="3"/>
      <c r="H2" s="3"/>
      <c r="I2" s="3"/>
    </row>
    <row r="3" spans="1:9" ht="20.100000000000001" customHeight="1">
      <c r="A3" s="4" t="s">
        <v>78</v>
      </c>
      <c r="B3" s="4"/>
      <c r="C3" s="4"/>
      <c r="D3" s="4"/>
      <c r="E3" s="4"/>
      <c r="F3" s="4"/>
      <c r="G3" s="4"/>
      <c r="H3" s="4"/>
      <c r="I3" s="1"/>
    </row>
    <row r="4" spans="1:9" ht="20.100000000000001" customHeight="1">
      <c r="A4" s="4"/>
      <c r="B4" s="4"/>
      <c r="C4" s="4"/>
      <c r="D4" s="4"/>
      <c r="E4" s="4"/>
      <c r="F4" s="4"/>
      <c r="G4" s="4"/>
      <c r="H4" s="4"/>
      <c r="I4" s="1"/>
    </row>
    <row r="5" spans="1:9" ht="8.1" customHeight="1">
      <c r="A5" s="1"/>
      <c r="B5" s="1"/>
      <c r="C5" s="1"/>
      <c r="D5" s="1"/>
      <c r="E5" s="1"/>
      <c r="F5" s="1"/>
      <c r="G5" s="1"/>
      <c r="H5" s="1"/>
      <c r="I5" s="1"/>
    </row>
    <row r="6" spans="1:9" ht="35.1" customHeight="1">
      <c r="A6" s="11" t="s">
        <v>2</v>
      </c>
      <c r="B6" s="11" t="s">
        <v>79</v>
      </c>
      <c r="C6" s="11" t="s">
        <v>80</v>
      </c>
      <c r="D6" s="11" t="s">
        <v>5</v>
      </c>
      <c r="E6" s="11" t="s">
        <v>6</v>
      </c>
      <c r="F6" s="11" t="s">
        <v>7</v>
      </c>
      <c r="G6" s="11" t="s">
        <v>81</v>
      </c>
      <c r="H6" s="11" t="s">
        <v>82</v>
      </c>
      <c r="I6" s="11" t="s">
        <v>83</v>
      </c>
    </row>
    <row r="7" spans="1:9" ht="21" customHeight="1">
      <c r="A7" s="1" t="s">
        <v>84</v>
      </c>
      <c r="B7" s="1" t="s">
        <v>85</v>
      </c>
      <c r="C7" s="6">
        <f t="shared" ref="C7:C18" si="0">IF(D7="","",D7/365)</f>
        <v>1.4</v>
      </c>
      <c r="D7" s="7">
        <v>511</v>
      </c>
      <c r="E7" s="8">
        <v>45483</v>
      </c>
      <c r="F7" s="1" t="s">
        <v>24</v>
      </c>
      <c r="G7" s="10" t="s">
        <v>86</v>
      </c>
      <c r="H7" s="10" t="s">
        <v>87</v>
      </c>
      <c r="I7" s="10" t="s">
        <v>88</v>
      </c>
    </row>
    <row r="8" spans="1:9" ht="21" customHeight="1">
      <c r="A8" s="1" t="s">
        <v>89</v>
      </c>
      <c r="B8" s="1" t="s">
        <v>90</v>
      </c>
      <c r="C8" s="6">
        <f t="shared" si="0"/>
        <v>1.3808219178082193</v>
      </c>
      <c r="D8" s="7">
        <v>504</v>
      </c>
      <c r="E8" s="8">
        <v>45490</v>
      </c>
      <c r="F8" s="1" t="s">
        <v>91</v>
      </c>
      <c r="G8" s="10" t="s">
        <v>92</v>
      </c>
      <c r="H8" s="10" t="s">
        <v>87</v>
      </c>
      <c r="I8" s="10" t="s">
        <v>88</v>
      </c>
    </row>
    <row r="9" spans="1:9" ht="21" customHeight="1">
      <c r="A9" s="1" t="s">
        <v>93</v>
      </c>
      <c r="B9" s="1" t="s">
        <v>94</v>
      </c>
      <c r="C9" s="6">
        <f t="shared" si="0"/>
        <v>1.3342465753424657</v>
      </c>
      <c r="D9" s="7">
        <v>487</v>
      </c>
      <c r="E9" s="8">
        <v>45507</v>
      </c>
      <c r="F9" s="1" t="s">
        <v>29</v>
      </c>
      <c r="G9" s="10" t="s">
        <v>95</v>
      </c>
      <c r="H9" s="10" t="s">
        <v>96</v>
      </c>
      <c r="I9" s="10" t="s">
        <v>97</v>
      </c>
    </row>
    <row r="10" spans="1:9" ht="21" customHeight="1">
      <c r="A10" s="1" t="s">
        <v>98</v>
      </c>
      <c r="B10" s="1" t="s">
        <v>99</v>
      </c>
      <c r="C10" s="6">
        <f t="shared" si="0"/>
        <v>1.3945205479452054</v>
      </c>
      <c r="D10" s="7">
        <v>509</v>
      </c>
      <c r="E10" s="8">
        <v>45490</v>
      </c>
      <c r="F10" s="1" t="s">
        <v>91</v>
      </c>
      <c r="G10" s="10" t="s">
        <v>92</v>
      </c>
      <c r="H10" s="10" t="s">
        <v>87</v>
      </c>
      <c r="I10" s="10" t="s">
        <v>88</v>
      </c>
    </row>
    <row r="11" spans="1:9" ht="21" customHeight="1">
      <c r="A11" s="1" t="s">
        <v>100</v>
      </c>
      <c r="B11" s="1" t="s">
        <v>101</v>
      </c>
      <c r="C11" s="6">
        <f t="shared" si="0"/>
        <v>1.3068493150684932</v>
      </c>
      <c r="D11" s="7">
        <v>477</v>
      </c>
      <c r="E11" s="8">
        <v>45517</v>
      </c>
      <c r="F11" s="1" t="s">
        <v>14</v>
      </c>
      <c r="G11" s="10" t="s">
        <v>102</v>
      </c>
      <c r="H11" s="10" t="s">
        <v>87</v>
      </c>
      <c r="I11" s="10" t="s">
        <v>88</v>
      </c>
    </row>
    <row r="12" spans="1:9" ht="21" customHeight="1">
      <c r="A12" s="1" t="s">
        <v>103</v>
      </c>
      <c r="B12" s="1" t="s">
        <v>104</v>
      </c>
      <c r="C12" s="6">
        <f t="shared" si="0"/>
        <v>1.0082191780821919</v>
      </c>
      <c r="D12" s="7">
        <v>368</v>
      </c>
      <c r="E12" s="8">
        <v>45627</v>
      </c>
      <c r="F12" s="1" t="s">
        <v>29</v>
      </c>
      <c r="G12" s="10" t="s">
        <v>95</v>
      </c>
      <c r="H12" s="10" t="s">
        <v>96</v>
      </c>
      <c r="I12" s="10" t="s">
        <v>88</v>
      </c>
    </row>
    <row r="13" spans="1:9" ht="21" customHeight="1">
      <c r="A13" s="1" t="s">
        <v>105</v>
      </c>
      <c r="B13" s="1" t="s">
        <v>106</v>
      </c>
      <c r="C13" s="6">
        <f t="shared" si="0"/>
        <v>1.3863013698630138</v>
      </c>
      <c r="D13" s="7">
        <v>506</v>
      </c>
      <c r="E13" s="8">
        <v>45488</v>
      </c>
      <c r="F13" s="1" t="s">
        <v>49</v>
      </c>
      <c r="G13" s="10" t="s">
        <v>107</v>
      </c>
      <c r="H13" s="10" t="s">
        <v>108</v>
      </c>
      <c r="I13" s="10" t="s">
        <v>88</v>
      </c>
    </row>
    <row r="14" spans="1:9" ht="21" customHeight="1">
      <c r="A14" s="1" t="s">
        <v>109</v>
      </c>
      <c r="B14" s="1" t="s">
        <v>110</v>
      </c>
      <c r="C14" s="6">
        <f t="shared" si="0"/>
        <v>1.3863013698630138</v>
      </c>
      <c r="D14" s="7">
        <v>506</v>
      </c>
      <c r="E14" s="8">
        <v>45488</v>
      </c>
      <c r="F14" s="1" t="s">
        <v>49</v>
      </c>
      <c r="G14" s="10" t="s">
        <v>107</v>
      </c>
      <c r="H14" s="10" t="s">
        <v>108</v>
      </c>
      <c r="I14" s="10" t="s">
        <v>88</v>
      </c>
    </row>
    <row r="15" spans="1:9" ht="21" customHeight="1">
      <c r="A15" s="1" t="s">
        <v>111</v>
      </c>
      <c r="B15" s="1" t="s">
        <v>112</v>
      </c>
      <c r="C15" s="6">
        <f t="shared" si="0"/>
        <v>1.3808219178082193</v>
      </c>
      <c r="D15" s="7">
        <v>504</v>
      </c>
      <c r="E15" s="8">
        <v>45490</v>
      </c>
      <c r="F15" s="1" t="s">
        <v>58</v>
      </c>
      <c r="G15" s="10" t="s">
        <v>113</v>
      </c>
      <c r="H15" s="10" t="s">
        <v>108</v>
      </c>
      <c r="I15" s="10" t="s">
        <v>88</v>
      </c>
    </row>
    <row r="16" spans="1:9" ht="21" customHeight="1">
      <c r="A16" s="1" t="s">
        <v>114</v>
      </c>
      <c r="B16" s="1" t="s">
        <v>115</v>
      </c>
      <c r="C16" s="6">
        <f t="shared" si="0"/>
        <v>1.3589041095890411</v>
      </c>
      <c r="D16" s="7">
        <v>496</v>
      </c>
      <c r="E16" s="8">
        <v>45498</v>
      </c>
      <c r="F16" s="1" t="s">
        <v>44</v>
      </c>
      <c r="G16" s="10" t="s">
        <v>116</v>
      </c>
      <c r="H16" s="10" t="s">
        <v>117</v>
      </c>
      <c r="I16" s="10" t="s">
        <v>88</v>
      </c>
    </row>
    <row r="17" spans="1:9" ht="21" customHeight="1">
      <c r="A17" s="1" t="s">
        <v>118</v>
      </c>
      <c r="B17" s="1" t="s">
        <v>119</v>
      </c>
      <c r="C17" s="6">
        <f t="shared" si="0"/>
        <v>1.3726027397260274</v>
      </c>
      <c r="D17" s="7">
        <v>501</v>
      </c>
      <c r="E17" s="8">
        <v>45498</v>
      </c>
      <c r="F17" s="1" t="s">
        <v>44</v>
      </c>
      <c r="G17" s="10" t="s">
        <v>116</v>
      </c>
      <c r="H17" s="10" t="s">
        <v>117</v>
      </c>
      <c r="I17" s="10" t="s">
        <v>88</v>
      </c>
    </row>
    <row r="18" spans="1:9" ht="21" customHeight="1">
      <c r="A18" s="1" t="s">
        <v>120</v>
      </c>
      <c r="B18" s="1" t="s">
        <v>121</v>
      </c>
      <c r="C18" s="6">
        <f t="shared" si="0"/>
        <v>1.0082191780821919</v>
      </c>
      <c r="D18" s="7">
        <v>368</v>
      </c>
      <c r="E18" s="8">
        <v>45627</v>
      </c>
      <c r="F18" s="1" t="s">
        <v>122</v>
      </c>
      <c r="G18" s="10" t="s">
        <v>123</v>
      </c>
      <c r="H18" s="10" t="s">
        <v>124</v>
      </c>
      <c r="I18" s="10" t="s">
        <v>88</v>
      </c>
    </row>
    <row r="19" spans="1:9" ht="20.100000000000001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20.100000000000001" customHeight="1">
      <c r="A20" s="4" t="s">
        <v>125</v>
      </c>
      <c r="B20" s="4"/>
      <c r="C20" s="4"/>
      <c r="D20" s="4"/>
      <c r="E20" s="4"/>
      <c r="F20" s="4"/>
      <c r="G20" s="4"/>
      <c r="H20" s="4"/>
      <c r="I20" s="4"/>
    </row>
    <row r="21" spans="1:9" ht="20.100000000000001" customHeight="1">
      <c r="A21" s="4" t="s">
        <v>126</v>
      </c>
      <c r="B21" s="4"/>
      <c r="C21" s="4"/>
      <c r="D21" s="4"/>
      <c r="E21" s="4"/>
      <c r="F21" s="4"/>
      <c r="G21" s="4"/>
      <c r="H21" s="4"/>
      <c r="I21" s="4"/>
    </row>
    <row r="22" spans="1:9" ht="20.100000000000001" customHeight="1">
      <c r="A22" s="4" t="s">
        <v>127</v>
      </c>
      <c r="B22" s="4"/>
      <c r="C22" s="4"/>
      <c r="D22" s="4"/>
      <c r="E22" s="4"/>
      <c r="F22" s="4"/>
      <c r="G22" s="4"/>
      <c r="H22" s="4"/>
      <c r="I22" s="4"/>
    </row>
    <row r="23" spans="1:9" ht="20.100000000000001" customHeight="1">
      <c r="A23" s="9" t="s">
        <v>128</v>
      </c>
      <c r="B23" s="9"/>
      <c r="C23" s="9"/>
      <c r="D23" s="9"/>
      <c r="E23" s="9"/>
      <c r="F23" s="9"/>
      <c r="G23" s="9"/>
      <c r="H23" s="9"/>
      <c r="I23" s="4"/>
    </row>
    <row r="24" spans="1:9" ht="20.100000000000001" customHeight="1">
      <c r="A24" s="9"/>
      <c r="B24" s="9"/>
      <c r="C24" s="9"/>
      <c r="D24" s="9"/>
      <c r="E24" s="9"/>
      <c r="F24" s="9"/>
      <c r="G24" s="9"/>
      <c r="H24" s="9"/>
      <c r="I24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RNA donors</vt:lpstr>
      <vt:lpstr>Plasma donors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Huynh, Dam Kim Tuyen</cp:lastModifiedBy>
  <dcterms:modified xsi:type="dcterms:W3CDTF">2026-10-08T17:15:08Z</dcterms:modified>
</cp:coreProperties>
</file>